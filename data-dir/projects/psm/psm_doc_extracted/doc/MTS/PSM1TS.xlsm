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lsx" ContentType="application/vnd.openxmlformats-officedocument.spreadsheetml.sheet"/>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drawings/drawing5.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activeX/activeX4.xml" ContentType="application/vnd.ms-office.activeX+xml"/>
  <Override PartName="/xl/activeX/activeX4.bin" ContentType="application/vnd.ms-office.activeX"/>
  <Override PartName="/xl/comments5.xml" ContentType="application/vnd.openxmlformats-officedocument.spreadsheetml.comments+xml"/>
  <Override PartName="/xl/drawings/drawing6.xml" ContentType="application/vnd.openxmlformats-officedocument.drawing+xml"/>
  <Override PartName="/xl/embeddings/oleObject5.bin" ContentType="application/vnd.openxmlformats-officedocument.oleObject"/>
  <Override PartName="/xl/embeddings/oleObject6.bin" ContentType="application/vnd.openxmlformats-officedocument.oleObject"/>
  <Override PartName="/xl/activeX/activeX5.xml" ContentType="application/vnd.ms-office.activeX+xml"/>
  <Override PartName="/xl/activeX/activeX5.bin" ContentType="application/vnd.ms-office.activeX"/>
  <Override PartName="/xl/comments6.xml" ContentType="application/vnd.openxmlformats-officedocument.spreadsheetml.comments+xml"/>
  <Override PartName="/xl/drawings/drawing7.xml" ContentType="application/vnd.openxmlformats-officedocument.drawing+xml"/>
  <Override PartName="/xl/embeddings/oleObject7.bin" ContentType="application/vnd.openxmlformats-officedocument.oleObject"/>
  <Override PartName="/xl/embeddings/oleObject8.bin" ContentType="application/vnd.openxmlformats-officedocument.oleObject"/>
  <Override PartName="/xl/activeX/activeX6.xml" ContentType="application/vnd.ms-office.activeX+xml"/>
  <Override PartName="/xl/activeX/activeX6.bin" ContentType="application/vnd.ms-office.activeX"/>
  <Override PartName="/xl/comments7.xml" ContentType="application/vnd.openxmlformats-officedocument.spreadsheetml.comments+xml"/>
  <Override PartName="/xl/drawings/drawing8.xml" ContentType="application/vnd.openxmlformats-officedocument.drawing+xml"/>
  <Override PartName="/xl/embeddings/oleObject9.bin" ContentType="application/vnd.openxmlformats-officedocument.oleObject"/>
  <Override PartName="/xl/embeddings/oleObject10.bin" ContentType="application/vnd.openxmlformats-officedocument.oleObject"/>
  <Override PartName="/xl/activeX/activeX7.xml" ContentType="application/vnd.ms-office.activeX+xml"/>
  <Override PartName="/xl/activeX/activeX7.bin" ContentType="application/vnd.ms-office.activeX"/>
  <Override PartName="/xl/comments8.xml" ContentType="application/vnd.openxmlformats-officedocument.spreadsheetml.comments+xml"/>
  <Override PartName="/xl/drawings/drawing9.xml" ContentType="application/vnd.openxmlformats-officedocument.drawing+xml"/>
  <Override PartName="/xl/embeddings/oleObject11.bin" ContentType="application/vnd.openxmlformats-officedocument.oleObject"/>
  <Override PartName="/xl/activeX/activeX8.xml" ContentType="application/vnd.ms-office.activeX+xml"/>
  <Override PartName="/xl/activeX/activeX8.bin" ContentType="application/vnd.ms-office.activeX"/>
  <Override PartName="/xl/comments9.xml" ContentType="application/vnd.openxmlformats-officedocument.spreadsheetml.comments+xml"/>
  <Override PartName="/xl/drawings/drawing10.xml" ContentType="application/vnd.openxmlformats-officedocument.drawing+xml"/>
  <Override PartName="/xl/activeX/activeX9.xml" ContentType="application/vnd.ms-office.activeX+xml"/>
  <Override PartName="/xl/activeX/activeX9.bin" ContentType="application/vnd.ms-office.activeX"/>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updateLinks="never" codeName="DieseArbeitsmappe" hidePivotFieldList="1"/>
  <mc:AlternateContent xmlns:mc="http://schemas.openxmlformats.org/markup-compatibility/2006">
    <mc:Choice Requires="x15">
      <x15ac:absPath xmlns:x15ac="http://schemas.microsoft.com/office/spreadsheetml/2010/11/ac" url="D:\PSM\sw.pkg.em_psm\doc\MTS\"/>
    </mc:Choice>
  </mc:AlternateContent>
  <xr:revisionPtr revIDLastSave="0" documentId="13_ncr:1_{40B1C6C5-FAF6-4811-9725-DCB869BB1696}" xr6:coauthVersionLast="47" xr6:coauthVersionMax="47" xr10:uidLastSave="{00000000-0000-0000-0000-000000000000}"/>
  <bookViews>
    <workbookView xWindow="28680" yWindow="-120" windowWidth="29040" windowHeight="15720" tabRatio="544" xr2:uid="{00000000-000D-0000-FFFF-FFFF00000000}"/>
  </bookViews>
  <sheets>
    <sheet name="History" sheetId="5" r:id="rId1"/>
    <sheet name="Guidelines" sheetId="7" r:id="rId2"/>
    <sheet name="Scope, Approach, Environment" sheetId="22" r:id="rId3"/>
    <sheet name="Tests" sheetId="23" r:id="rId4"/>
    <sheet name="Traceability Matrix" sheetId="24" r:id="rId5"/>
    <sheet name="Test Report template (example)" sheetId="29" r:id="rId6"/>
    <sheet name="Test 1 2024-05-17" sheetId="33" r:id="rId7"/>
    <sheet name="__test_template__ (3)" sheetId="32" state="hidden" r:id="rId8"/>
    <sheet name="Test 2 2024-08-06" sheetId="35" r:id="rId9"/>
    <sheet name="Test 3 2024-09-03" sheetId="36" r:id="rId10"/>
    <sheet name="Test 4 2024-09-20" sheetId="37" r:id="rId11"/>
    <sheet name="Test 5 2024-09-29 (2)" sheetId="39" r:id="rId12"/>
    <sheet name="Test 6 2025-11-10" sheetId="38" r:id="rId13"/>
    <sheet name="__test_template__" sheetId="28" state="hidden" r:id="rId14"/>
    <sheet name="__data__" sheetId="26" state="hidden" r:id="rId15"/>
  </sheets>
  <externalReferences>
    <externalReference r:id="rId16"/>
    <externalReference r:id="rId17"/>
  </externalReferences>
  <definedNames>
    <definedName name="_Toc135814271" localSheetId="2">'Scope, Approach, Environment'!$A$1</definedName>
    <definedName name="_Toc135814272" localSheetId="2">'Scope, Approach, Environment'!$A$3</definedName>
    <definedName name="_Toc135814273" localSheetId="2">'Scope, Approach, Environment'!$A$7</definedName>
    <definedName name="_Toc135814274" localSheetId="2">'Scope, Approach, Environment'!$A$20</definedName>
    <definedName name="_Toc135814275" localSheetId="2">'Scope, Approach, Environment'!$A$22</definedName>
    <definedName name="_Toc135814276" localSheetId="2">'Scope, Approach, Environment'!$A$31</definedName>
    <definedName name="_Toc135814277" localSheetId="2">'Scope, Approach, Environment'!$A$36</definedName>
    <definedName name="_Toc135814278" localSheetId="2">'Scope, Approach, Environment'!$A$40</definedName>
    <definedName name="_Toc135814279" localSheetId="2">'Scope, Approach, Environment'!$A$43</definedName>
    <definedName name="_Toc135814280" localSheetId="2">'Scope, Approach, Environment'!$A$45</definedName>
    <definedName name="_Toc135814281" localSheetId="2">'Scope, Approach, Environment'!$A$51</definedName>
    <definedName name="_Toc136840245" localSheetId="13">__test_template__!$A$1</definedName>
    <definedName name="_Toc136840245" localSheetId="7">'__test_template__ (3)'!$A$1</definedName>
    <definedName name="_Toc136840245" localSheetId="6">'Test 1 2024-05-17'!$A$1</definedName>
    <definedName name="_Toc136840245" localSheetId="8">'Test 2 2024-08-06'!$A$1</definedName>
    <definedName name="_Toc136840245" localSheetId="9">'Test 3 2024-09-03'!$A$1</definedName>
    <definedName name="_Toc136840245" localSheetId="10">'Test 4 2024-09-20'!$A$1</definedName>
    <definedName name="_Toc136840245" localSheetId="11">'Test 5 2024-09-29 (2)'!$A$1</definedName>
    <definedName name="_Toc136840245" localSheetId="12">'Test 6 2025-11-10'!$A$1</definedName>
    <definedName name="_Toc136840245" localSheetId="5">'Test Report template (example)'!$A$1</definedName>
    <definedName name="_Toc136840246" localSheetId="13">__test_template__!$A$17</definedName>
    <definedName name="_Toc136840246" localSheetId="7">'__test_template__ (3)'!$A$17</definedName>
    <definedName name="_Toc136840246" localSheetId="6">'Test 1 2024-05-17'!$A$17</definedName>
    <definedName name="_Toc136840246" localSheetId="8">'Test 2 2024-08-06'!$A$17</definedName>
    <definedName name="_Toc136840246" localSheetId="9">'Test 3 2024-09-03'!$A$17</definedName>
    <definedName name="_Toc136840246" localSheetId="10">'Test 4 2024-09-20'!$A$17</definedName>
    <definedName name="_Toc136840246" localSheetId="11">'Test 5 2024-09-29 (2)'!$A$17</definedName>
    <definedName name="_Toc136840246" localSheetId="12">'Test 6 2025-11-10'!$A$17</definedName>
    <definedName name="_Toc136840246" localSheetId="5">'Test Report template (example)'!$A$17</definedName>
    <definedName name="_Toc136840249" localSheetId="13">__test_template__!$A$36</definedName>
    <definedName name="_Toc136840249" localSheetId="7">'__test_template__ (3)'!$A$36</definedName>
    <definedName name="_Toc136840249" localSheetId="6">'Test 1 2024-05-17'!$A$36</definedName>
    <definedName name="_Toc136840249" localSheetId="8">'Test 2 2024-08-06'!$A$36</definedName>
    <definedName name="_Toc136840249" localSheetId="9">'Test 3 2024-09-03'!$A$36</definedName>
    <definedName name="_Toc136840249" localSheetId="10">'Test 4 2024-09-20'!$A$36</definedName>
    <definedName name="_Toc136840249" localSheetId="11">'Test 5 2024-09-29 (2)'!$A$36</definedName>
    <definedName name="_Toc136840249" localSheetId="12">'Test 6 2025-11-10'!$A$36</definedName>
    <definedName name="_Toc136840249" localSheetId="5">'Test Report template (example)'!$A$36</definedName>
    <definedName name="_Toc463085983" localSheetId="2">'Scope, Approach, Environment'!#REF!</definedName>
    <definedName name="_Toc6914365" localSheetId="13">__test_template__!$A$30</definedName>
    <definedName name="_Toc6914365" localSheetId="7">'__test_template__ (3)'!$A$30</definedName>
    <definedName name="_Toc6914365" localSheetId="6">'Test 1 2024-05-17'!$A$30</definedName>
    <definedName name="_Toc6914365" localSheetId="8">'Test 2 2024-08-06'!$A$30</definedName>
    <definedName name="_Toc6914365" localSheetId="9">'Test 3 2024-09-03'!$A$30</definedName>
    <definedName name="_Toc6914365" localSheetId="10">'Test 4 2024-09-20'!$A$30</definedName>
    <definedName name="_Toc6914365" localSheetId="11">'Test 5 2024-09-29 (2)'!$A$30</definedName>
    <definedName name="_Toc6914365" localSheetId="12">'Test 6 2025-11-10'!$A$30</definedName>
    <definedName name="_Toc6914365" localSheetId="5">'Test Report template (example)'!$A$30</definedName>
    <definedName name="AppliedCompilerSwitches" localSheetId="13">__test_template__!$C$9</definedName>
    <definedName name="AppliedCompilerSwitches" localSheetId="7">'__test_template__ (3)'!$C$9</definedName>
    <definedName name="AppliedCompilerSwitches" localSheetId="6">'Test 1 2024-05-17'!$C$9</definedName>
    <definedName name="AppliedCompilerSwitches" localSheetId="8">'Test 2 2024-08-06'!$C$9</definedName>
    <definedName name="AppliedCompilerSwitches" localSheetId="9">'Test 3 2024-09-03'!$C$9</definedName>
    <definedName name="AppliedCompilerSwitches" localSheetId="10">'Test 4 2024-09-20'!$C$9</definedName>
    <definedName name="AppliedCompilerSwitches" localSheetId="11">'Test 5 2024-09-29 (2)'!$C$9</definedName>
    <definedName name="AppliedCompilerSwitches" localSheetId="12">'Test 6 2025-11-10'!$C$9</definedName>
    <definedName name="AppliedCompilerSwitches" localSheetId="5">'Test Report template (example)'!$C$9</definedName>
    <definedName name="AverageTimePerTest" localSheetId="13">__test_template__!#REF!</definedName>
    <definedName name="AverageTimePerTest" localSheetId="7">'__test_template__ (3)'!#REF!</definedName>
    <definedName name="AverageTimePerTest" localSheetId="6">'Test 1 2024-05-17'!#REF!</definedName>
    <definedName name="AverageTimePerTest" localSheetId="8">'Test 2 2024-08-06'!#REF!</definedName>
    <definedName name="AverageTimePerTest" localSheetId="9">'Test 3 2024-09-03'!#REF!</definedName>
    <definedName name="AverageTimePerTest" localSheetId="10">'Test 4 2024-09-20'!#REF!</definedName>
    <definedName name="AverageTimePerTest" localSheetId="11">'Test 5 2024-09-29 (2)'!#REF!</definedName>
    <definedName name="AverageTimePerTest" localSheetId="12">'Test 6 2025-11-10'!#REF!</definedName>
    <definedName name="AverageTimePerTest" localSheetId="5">'Test Report template (example)'!#REF!</definedName>
    <definedName name="C0" localSheetId="13">__test_template__!$C$28</definedName>
    <definedName name="C0" localSheetId="7">'__test_template__ (3)'!$C$28</definedName>
    <definedName name="C0" localSheetId="6">'Test 1 2024-05-17'!$C$28</definedName>
    <definedName name="C0" localSheetId="8">'Test 2 2024-08-06'!$C$28</definedName>
    <definedName name="C0" localSheetId="9">'Test 3 2024-09-03'!$C$28</definedName>
    <definedName name="C0" localSheetId="10">'Test 4 2024-09-20'!$C$28</definedName>
    <definedName name="C0" localSheetId="11">'Test 5 2024-09-29 (2)'!$C$28</definedName>
    <definedName name="C0" localSheetId="12">'Test 6 2025-11-10'!$C$28</definedName>
    <definedName name="C0" localSheetId="5">'Test Report template (example)'!$C$28</definedName>
    <definedName name="EEPROMSettings" localSheetId="13">__test_template__!$C$11</definedName>
    <definedName name="EEPROMSettings" localSheetId="7">'__test_template__ (3)'!$C$11</definedName>
    <definedName name="EEPROMSettings" localSheetId="6">'Test 1 2024-05-17'!$C$11</definedName>
    <definedName name="EEPROMSettings" localSheetId="8">'Test 2 2024-08-06'!$C$11</definedName>
    <definedName name="EEPROMSettings" localSheetId="9">'Test 3 2024-09-03'!$C$11</definedName>
    <definedName name="EEPROMSettings" localSheetId="10">'Test 4 2024-09-20'!$C$11</definedName>
    <definedName name="EEPROMSettings" localSheetId="11">'Test 5 2024-09-29 (2)'!$C$11</definedName>
    <definedName name="EEPROMSettings" localSheetId="12">'Test 6 2025-11-10'!$C$11</definedName>
    <definedName name="EEPROMSettings" localSheetId="5">'Test Report template (example)'!$C$11</definedName>
    <definedName name="EmulatorTypeAndRevision" localSheetId="13">__test_template__!$C$12</definedName>
    <definedName name="EmulatorTypeAndRevision" localSheetId="7">'__test_template__ (3)'!$C$12</definedName>
    <definedName name="EmulatorTypeAndRevision" localSheetId="6">'Test 1 2024-05-17'!$C$12</definedName>
    <definedName name="EmulatorTypeAndRevision" localSheetId="8">'Test 2 2024-08-06'!$C$12</definedName>
    <definedName name="EmulatorTypeAndRevision" localSheetId="9">'Test 3 2024-09-03'!$C$12</definedName>
    <definedName name="EmulatorTypeAndRevision" localSheetId="10">'Test 4 2024-09-20'!$C$12</definedName>
    <definedName name="EmulatorTypeAndRevision" localSheetId="11">'Test 5 2024-09-29 (2)'!$C$12</definedName>
    <definedName name="EmulatorTypeAndRevision" localSheetId="12">'Test 6 2025-11-10'!$C$12</definedName>
    <definedName name="EmulatorTypeAndRevision" localSheetId="5">'Test Report template (example)'!$C$12</definedName>
    <definedName name="IDENameAndRevision" localSheetId="13">__test_template__!$C$15</definedName>
    <definedName name="IDENameAndRevision" localSheetId="7">'__test_template__ (3)'!$C$15</definedName>
    <definedName name="IDENameAndRevision" localSheetId="6">'Test 1 2024-05-17'!$C$15</definedName>
    <definedName name="IDENameAndRevision" localSheetId="8">'Test 2 2024-08-06'!$C$15</definedName>
    <definedName name="IDENameAndRevision" localSheetId="9">'Test 3 2024-09-03'!$C$15</definedName>
    <definedName name="IDENameAndRevision" localSheetId="10">'Test 4 2024-09-20'!$C$15</definedName>
    <definedName name="IDENameAndRevision" localSheetId="11">'Test 5 2024-09-29 (2)'!$C$15</definedName>
    <definedName name="IDENameAndRevision" localSheetId="12">'Test 6 2025-11-10'!$C$15</definedName>
    <definedName name="IDENameAndRevision" localSheetId="5">'Test Report template (example)'!$C$15</definedName>
    <definedName name="MicrocontrollerTypeAndRevision" localSheetId="13">__test_template__!$C$13</definedName>
    <definedName name="MicrocontrollerTypeAndRevision" localSheetId="7">'__test_template__ (3)'!$C$13</definedName>
    <definedName name="MicrocontrollerTypeAndRevision" localSheetId="6">'Test 1 2024-05-17'!$C$13</definedName>
    <definedName name="MicrocontrollerTypeAndRevision" localSheetId="8">'Test 2 2024-08-06'!$C$13</definedName>
    <definedName name="MicrocontrollerTypeAndRevision" localSheetId="9">'Test 3 2024-09-03'!$C$13</definedName>
    <definedName name="MicrocontrollerTypeAndRevision" localSheetId="10">'Test 4 2024-09-20'!$C$13</definedName>
    <definedName name="MicrocontrollerTypeAndRevision" localSheetId="11">'Test 5 2024-09-29 (2)'!$C$13</definedName>
    <definedName name="MicrocontrollerTypeAndRevision" localSheetId="12">'Test 6 2025-11-10'!$C$13</definedName>
    <definedName name="MicrocontrollerTypeAndRevision" localSheetId="5">'Test Report template (example)'!$C$13</definedName>
    <definedName name="NameAndRevisionOfModule" localSheetId="13">__test_template__!$C$4</definedName>
    <definedName name="NameAndRevisionOfModule" localSheetId="7">'__test_template__ (3)'!$C$4</definedName>
    <definedName name="NameAndRevisionOfModule" localSheetId="6">'Test 1 2024-05-17'!$C$4</definedName>
    <definedName name="NameAndRevisionOfModule" localSheetId="8">'Test 2 2024-08-06'!$C$4</definedName>
    <definedName name="NameAndRevisionOfModule" localSheetId="9">'Test 3 2024-09-03'!$C$4</definedName>
    <definedName name="NameAndRevisionOfModule" localSheetId="10">'Test 4 2024-09-20'!$C$4</definedName>
    <definedName name="NameAndRevisionOfModule" localSheetId="11">'Test 5 2024-09-29 (2)'!$C$4</definedName>
    <definedName name="NameAndRevisionOfModule" localSheetId="12">'Test 6 2025-11-10'!$C$4</definedName>
    <definedName name="NameAndRevisionOfModule" localSheetId="5">'Test Report template (example)'!$C$4</definedName>
    <definedName name="NameAndRevisionofSWSystem" localSheetId="13">__test_template__!$C$8</definedName>
    <definedName name="NameAndRevisionofSWSystem" localSheetId="7">'__test_template__ (3)'!$C$8</definedName>
    <definedName name="NameAndRevisionofSWSystem" localSheetId="6">'Test 1 2024-05-17'!$C$8</definedName>
    <definedName name="NameAndRevisionofSWSystem" localSheetId="8">'Test 2 2024-08-06'!$C$8</definedName>
    <definedName name="NameAndRevisionofSWSystem" localSheetId="9">'Test 3 2024-09-03'!$C$8</definedName>
    <definedName name="NameAndRevisionofSWSystem" localSheetId="10">'Test 4 2024-09-20'!$C$8</definedName>
    <definedName name="NameAndRevisionofSWSystem" localSheetId="11">'Test 5 2024-09-29 (2)'!$C$8</definedName>
    <definedName name="NameAndRevisionofSWSystem" localSheetId="12">'Test 6 2025-11-10'!$C$8</definedName>
    <definedName name="NameAndRevisionofSWSystem" localSheetId="5">'Test Report template (example)'!$C$8</definedName>
    <definedName name="NameAndRevisionOfTestFrames" localSheetId="13">__test_template__!$C$7</definedName>
    <definedName name="NameAndRevisionOfTestFrames" localSheetId="7">'__test_template__ (3)'!$C$7</definedName>
    <definedName name="NameAndRevisionOfTestFrames" localSheetId="6">'Test 1 2024-05-17'!$C$7</definedName>
    <definedName name="NameAndRevisionOfTestFrames" localSheetId="8">'Test 2 2024-08-06'!$C$7</definedName>
    <definedName name="NameAndRevisionOfTestFrames" localSheetId="9">'Test 3 2024-09-03'!$C$7</definedName>
    <definedName name="NameAndRevisionOfTestFrames" localSheetId="10">'Test 4 2024-09-20'!$C$7</definedName>
    <definedName name="NameAndRevisionOfTestFrames" localSheetId="11">'Test 5 2024-09-29 (2)'!$C$7</definedName>
    <definedName name="NameAndRevisionOfTestFrames" localSheetId="12">'Test 6 2025-11-10'!$C$7</definedName>
    <definedName name="NameAndRevisionOfTestFrames" localSheetId="5">'Test Report template (example)'!$C$7</definedName>
    <definedName name="passed">__data__!$D$1:$D$3</definedName>
    <definedName name="_xlnm.Print_Titles" localSheetId="3">Tests!#REF!</definedName>
    <definedName name="result_list" localSheetId="13">[1]__data__!$C$1:$C$3</definedName>
    <definedName name="result_list" localSheetId="7">[1]__data__!$C$1:$C$3</definedName>
    <definedName name="result_list" localSheetId="6">[1]__data__!$C$1:$C$3</definedName>
    <definedName name="result_list" localSheetId="8">[1]__data__!$C$1:$C$3</definedName>
    <definedName name="result_list" localSheetId="9">[1]__data__!$C$1:$C$3</definedName>
    <definedName name="result_list" localSheetId="10">[1]__data__!$C$1:$C$3</definedName>
    <definedName name="result_list" localSheetId="11">[1]__data__!$C$1:$C$3</definedName>
    <definedName name="result_list" localSheetId="12">[1]__data__!$C$1:$C$3</definedName>
    <definedName name="result_list" localSheetId="5">[2]__data__!$C$1:$C$3</definedName>
    <definedName name="result_list">__data__!$C$1:$C$3</definedName>
    <definedName name="TestDate" localSheetId="13">__test_template__!$C$20</definedName>
    <definedName name="TestDate" localSheetId="7">'__test_template__ (3)'!$C$20</definedName>
    <definedName name="TestDate" localSheetId="6">'Test 1 2024-05-17'!$C$20</definedName>
    <definedName name="TestDate" localSheetId="8">'Test 2 2024-08-06'!$C$20</definedName>
    <definedName name="TestDate" localSheetId="9">'Test 3 2024-09-03'!$C$20</definedName>
    <definedName name="TestDate" localSheetId="10">'Test 4 2024-09-20'!$C$20</definedName>
    <definedName name="TestDate" localSheetId="11">'Test 5 2024-09-29 (2)'!$C$20</definedName>
    <definedName name="TestDate" localSheetId="12">'Test 6 2025-11-10'!$C$20</definedName>
    <definedName name="TestDate" localSheetId="5">'Test Report template (example)'!$C$20</definedName>
    <definedName name="Tester" localSheetId="13">__test_template__!$C$19</definedName>
    <definedName name="Tester" localSheetId="7">'__test_template__ (3)'!$C$19</definedName>
    <definedName name="Tester" localSheetId="6">'Test 1 2024-05-17'!$C$19</definedName>
    <definedName name="Tester" localSheetId="8">'Test 2 2024-08-06'!$C$19</definedName>
    <definedName name="Tester" localSheetId="9">'Test 3 2024-09-03'!$C$19</definedName>
    <definedName name="Tester" localSheetId="10">'Test 4 2024-09-20'!$C$19</definedName>
    <definedName name="Tester" localSheetId="11">'Test 5 2024-09-29 (2)'!$C$19</definedName>
    <definedName name="Tester" localSheetId="12">'Test 6 2025-11-10'!$C$19</definedName>
    <definedName name="Tester" localSheetId="5">'Test Report template (example)'!$C$19</definedName>
    <definedName name="TestOverallTime" localSheetId="13">__test_template__!#REF!</definedName>
    <definedName name="TestOverallTime" localSheetId="7">'__test_template__ (3)'!#REF!</definedName>
    <definedName name="TestOverallTime" localSheetId="6">'Test 1 2024-05-17'!#REF!</definedName>
    <definedName name="TestOverallTime" localSheetId="8">'Test 2 2024-08-06'!#REF!</definedName>
    <definedName name="TestOverallTime" localSheetId="9">'Test 3 2024-09-03'!#REF!</definedName>
    <definedName name="TestOverallTime" localSheetId="10">'Test 4 2024-09-20'!#REF!</definedName>
    <definedName name="TestOverallTime" localSheetId="11">'Test 5 2024-09-29 (2)'!#REF!</definedName>
    <definedName name="TestOverallTime" localSheetId="12">'Test 6 2025-11-10'!#REF!</definedName>
    <definedName name="TestOverallTime" localSheetId="5">'Test Report template (example)'!#REF!</definedName>
    <definedName name="TestResult" localSheetId="13">__test_template__!$C$27</definedName>
    <definedName name="TestResult" localSheetId="7">'__test_template__ (3)'!$C$27</definedName>
    <definedName name="TestResult" localSheetId="6">'Test 1 2024-05-17'!$C$27</definedName>
    <definedName name="TestResult" localSheetId="8">'Test 2 2024-08-06'!$C$27</definedName>
    <definedName name="TestResult" localSheetId="9">'Test 3 2024-09-03'!$C$27</definedName>
    <definedName name="TestResult" localSheetId="10">'Test 4 2024-09-20'!$C$27</definedName>
    <definedName name="TestResult" localSheetId="11">'Test 5 2024-09-29 (2)'!$C$27</definedName>
    <definedName name="TestResult" localSheetId="12">'Test 6 2025-11-10'!$C$27</definedName>
    <definedName name="TestResult" localSheetId="5">'Test Report template (example)'!$C$27</definedName>
    <definedName name="testresultlist" localSheetId="13">[1]__data__!$D$1:$D$3</definedName>
    <definedName name="testresultlist" localSheetId="7">[1]__data__!$D$1:$D$3</definedName>
    <definedName name="testresultlist" localSheetId="6">[1]__data__!$D$1:$D$3</definedName>
    <definedName name="testresultlist" localSheetId="8">[1]__data__!$D$1:$D$3</definedName>
    <definedName name="testresultlist" localSheetId="9">[1]__data__!$D$1:$D$3</definedName>
    <definedName name="testresultlist" localSheetId="10">[1]__data__!$D$1:$D$3</definedName>
    <definedName name="testresultlist" localSheetId="11">[1]__data__!$D$1:$D$3</definedName>
    <definedName name="testresultlist" localSheetId="12">[1]__data__!$D$1:$D$3</definedName>
    <definedName name="testresultlist" localSheetId="5">[2]__data__!$D$1:$D$3</definedName>
    <definedName name="testresultlist">__data__!$D$1:$D$3</definedName>
    <definedName name="TestScope" localSheetId="13">[1]__data__!$H$1:$H$2</definedName>
    <definedName name="TestScope" localSheetId="7">[1]__data__!$H$1:$H$2</definedName>
    <definedName name="TestScope" localSheetId="6">[1]__data__!$H$1:$H$2</definedName>
    <definedName name="TestScope" localSheetId="8">[1]__data__!$H$1:$H$2</definedName>
    <definedName name="TestScope" localSheetId="9">[1]__data__!$H$1:$H$2</definedName>
    <definedName name="TestScope" localSheetId="10">[1]__data__!$H$1:$H$2</definedName>
    <definedName name="TestScope" localSheetId="11">[1]__data__!$H$1:$H$2</definedName>
    <definedName name="TestScope" localSheetId="12">[1]__data__!$H$1:$H$2</definedName>
    <definedName name="TestScope" localSheetId="5">[2]__data__!$H$1:$H$2</definedName>
    <definedName name="TestTypeTSO" localSheetId="13">[1]__data__!$G$1:$G$4</definedName>
    <definedName name="TestTypeTSO" localSheetId="7">[1]__data__!$G$1:$G$4</definedName>
    <definedName name="TestTypeTSO" localSheetId="6">[1]__data__!$G$1:$G$4</definedName>
    <definedName name="TestTypeTSO" localSheetId="8">[1]__data__!$G$1:$G$4</definedName>
    <definedName name="TestTypeTSO" localSheetId="9">[1]__data__!$G$1:$G$4</definedName>
    <definedName name="TestTypeTSO" localSheetId="10">[1]__data__!$G$1:$G$4</definedName>
    <definedName name="TestTypeTSO" localSheetId="11">[1]__data__!$G$1:$G$4</definedName>
    <definedName name="TestTypeTSO" localSheetId="12">[1]__data__!$G$1:$G$4</definedName>
    <definedName name="TestTypeTSO" localSheetId="5">[2]__data__!$G$1:$G$4</definedName>
    <definedName name="TestTypeTSO">__data__!$G$1:$G$4</definedName>
    <definedName name="TypeOfTest" localSheetId="13">[1]__data__!$F$1:$F$10</definedName>
    <definedName name="TypeOfTest" localSheetId="7">[1]__data__!$F$1:$F$10</definedName>
    <definedName name="TypeOfTest" localSheetId="6">[1]__data__!$F$1:$F$10</definedName>
    <definedName name="TypeOfTest" localSheetId="8">[1]__data__!$F$1:$F$10</definedName>
    <definedName name="TypeOfTest" localSheetId="9">[1]__data__!$F$1:$F$10</definedName>
    <definedName name="TypeOfTest" localSheetId="10">[1]__data__!$F$1:$F$10</definedName>
    <definedName name="TypeOfTest" localSheetId="11">[1]__data__!$F$1:$F$10</definedName>
    <definedName name="TypeOfTest" localSheetId="12">[1]__data__!$F$1:$F$10</definedName>
    <definedName name="TypeOfTest" localSheetId="5">[2]__data__!$F$1:$F$10</definedName>
    <definedName name="TypeOfTest">__data__!$F$1:$F$3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53" i="39" l="1"/>
  <c r="S53" i="39"/>
  <c r="R53" i="39"/>
  <c r="Q53" i="39"/>
  <c r="P53" i="39"/>
  <c r="O53" i="39"/>
  <c r="M53" i="39"/>
  <c r="I53" i="39"/>
  <c r="H53" i="39"/>
  <c r="F53" i="39"/>
  <c r="C2" i="39"/>
  <c r="T52" i="38"/>
  <c r="S52" i="38"/>
  <c r="R52" i="38"/>
  <c r="Q52" i="38"/>
  <c r="P52" i="38"/>
  <c r="O52" i="38"/>
  <c r="I52" i="38"/>
  <c r="H52" i="38"/>
  <c r="F52" i="38"/>
  <c r="C2" i="38"/>
  <c r="T53" i="37"/>
  <c r="S53" i="37"/>
  <c r="R53" i="37"/>
  <c r="Q53" i="37"/>
  <c r="P53" i="37"/>
  <c r="O53" i="37"/>
  <c r="M53" i="37"/>
  <c r="I53" i="37"/>
  <c r="H53" i="37"/>
  <c r="F53" i="37"/>
  <c r="C2" i="37"/>
  <c r="T53" i="36"/>
  <c r="S53" i="36"/>
  <c r="R53" i="36"/>
  <c r="Q53" i="36"/>
  <c r="P53" i="36"/>
  <c r="O53" i="36"/>
  <c r="M53" i="36"/>
  <c r="I53" i="36"/>
  <c r="H53" i="36"/>
  <c r="F53" i="36"/>
  <c r="C2" i="36"/>
  <c r="O54" i="35"/>
  <c r="M54" i="35"/>
  <c r="T54" i="35"/>
  <c r="S54" i="35"/>
  <c r="R54" i="35"/>
  <c r="Q54" i="35"/>
  <c r="P54" i="35"/>
  <c r="I54" i="35"/>
  <c r="H54" i="35"/>
  <c r="F54" i="35"/>
  <c r="C2" i="35"/>
  <c r="C2" i="33"/>
  <c r="C2" i="29"/>
  <c r="T55" i="33"/>
  <c r="S55" i="33"/>
  <c r="R55" i="33"/>
  <c r="Q55" i="33"/>
  <c r="P55" i="33"/>
  <c r="O55" i="33"/>
  <c r="M55" i="33"/>
  <c r="I55" i="33"/>
  <c r="H55" i="33"/>
  <c r="F55" i="33"/>
  <c r="T55" i="32" l="1"/>
  <c r="S55" i="32"/>
  <c r="R55" i="32"/>
  <c r="Q55" i="32"/>
  <c r="P55" i="32"/>
  <c r="O55" i="32"/>
  <c r="M55" i="32"/>
  <c r="I55" i="32"/>
  <c r="H55" i="32"/>
  <c r="F55" i="32"/>
  <c r="T55" i="29" l="1"/>
  <c r="S55" i="29"/>
  <c r="R55" i="29"/>
  <c r="Q55" i="29"/>
  <c r="P55" i="29"/>
  <c r="O55" i="29"/>
  <c r="M55" i="29"/>
  <c r="I55" i="29"/>
  <c r="H55" i="29"/>
  <c r="F55" i="29"/>
  <c r="T55" i="28"/>
  <c r="S55" i="28"/>
  <c r="R55" i="28"/>
  <c r="Q55" i="28"/>
  <c r="P55" i="28"/>
  <c r="O55" i="28"/>
  <c r="M55" i="28"/>
  <c r="I55" i="28"/>
  <c r="H55" i="28"/>
  <c r="F55"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uidf3299</author>
  </authors>
  <commentList>
    <comment ref="A5" authorId="0" shapeId="0" xr:uid="{00000000-0006-0000-0000-000001000000}">
      <text>
        <r>
          <rPr>
            <b/>
            <sz val="8"/>
            <color indexed="81"/>
            <rFont val="Tahoma"/>
            <family val="2"/>
          </rPr>
          <t xml:space="preserve">Pleaser enter...
</t>
        </r>
        <r>
          <rPr>
            <sz val="8"/>
            <color indexed="81"/>
            <rFont val="Tahoma"/>
            <family val="2"/>
          </rPr>
          <t xml:space="preserve">
</t>
        </r>
      </text>
    </comment>
    <comment ref="A6" authorId="0" shapeId="0" xr:uid="{00000000-0006-0000-0000-000002000000}">
      <text>
        <r>
          <rPr>
            <b/>
            <sz val="8"/>
            <color indexed="81"/>
            <rFont val="Tahoma"/>
            <family val="2"/>
          </rPr>
          <t xml:space="preserve">Pleaser enter...
</t>
        </r>
        <r>
          <rPr>
            <sz val="8"/>
            <color indexed="81"/>
            <rFont val="Tahoma"/>
            <family val="2"/>
          </rPr>
          <t xml:space="preserve">
</t>
        </r>
      </text>
    </comment>
    <comment ref="B8" authorId="0" shapeId="0" xr:uid="{00000000-0006-0000-0000-000003000000}">
      <text>
        <r>
          <rPr>
            <b/>
            <sz val="8"/>
            <color indexed="81"/>
            <rFont val="Tahoma"/>
            <family val="2"/>
          </rPr>
          <t xml:space="preserve">Pleaser enter...
</t>
        </r>
        <r>
          <rPr>
            <sz val="8"/>
            <color indexed="81"/>
            <rFont val="Tahoma"/>
            <family val="2"/>
          </rPr>
          <t xml:space="preserve">
</t>
        </r>
      </text>
    </comment>
    <comment ref="B11" authorId="0" shapeId="0" xr:uid="{00000000-0006-0000-0000-000004000000}">
      <text>
        <r>
          <rPr>
            <b/>
            <sz val="8"/>
            <color indexed="81"/>
            <rFont val="Tahoma"/>
            <family val="2"/>
          </rPr>
          <t xml:space="preserve">Pleaser enter...
</t>
        </r>
        <r>
          <rPr>
            <sz val="8"/>
            <color indexed="81"/>
            <rFont val="Tahoma"/>
            <family val="2"/>
          </rPr>
          <t xml:space="preserve">
</t>
        </r>
      </text>
    </comment>
    <comment ref="B12" authorId="0" shapeId="0" xr:uid="{00000000-0006-0000-0000-000005000000}">
      <text>
        <r>
          <rPr>
            <b/>
            <sz val="8"/>
            <color indexed="81"/>
            <rFont val="Tahoma"/>
            <family val="2"/>
          </rPr>
          <t xml:space="preserve">Pleaser enter...
</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uidf3082</author>
    <author>Volker Ackermann</author>
    <author>Rainer Resch (uidf3082)</author>
    <author>uidf1974</author>
  </authors>
  <commentList>
    <comment ref="C54" authorId="0" shapeId="0" xr:uid="{00000000-0006-0000-0500-000001000000}">
      <text>
        <r>
          <rPr>
            <b/>
            <sz val="8"/>
            <color indexed="81"/>
            <rFont val="Tahoma"/>
            <family val="2"/>
          </rPr>
          <t>Tailoring Mandatory 
Sample Phase
defined in Folder Legend</t>
        </r>
        <r>
          <rPr>
            <sz val="8"/>
            <color indexed="81"/>
            <rFont val="Tahoma"/>
            <family val="2"/>
          </rPr>
          <t xml:space="preserve">
</t>
        </r>
      </text>
    </comment>
    <comment ref="D54" authorId="0" shapeId="0" xr:uid="{00000000-0006-0000-0500-000002000000}">
      <text>
        <r>
          <rPr>
            <b/>
            <sz val="8"/>
            <color indexed="81"/>
            <rFont val="Tahoma"/>
            <family val="2"/>
          </rPr>
          <t xml:space="preserve">Tailoring: Mandatory
EE  Hardware
SW  Software
ME Mechanical Design
PIT Product Integration Test
PV Product Validation
</t>
        </r>
      </text>
    </comment>
    <comment ref="E54" authorId="1" shapeId="0" xr:uid="{00000000-0006-0000-0500-000003000000}">
      <text>
        <r>
          <rPr>
            <b/>
            <sz val="8"/>
            <color indexed="81"/>
            <rFont val="Tahoma"/>
            <family val="2"/>
          </rPr>
          <t xml:space="preserve">Tailoring: Mandatory
Test Level:
MT: </t>
        </r>
        <r>
          <rPr>
            <sz val="8"/>
            <color indexed="81"/>
            <rFont val="Tahoma"/>
            <family val="2"/>
          </rPr>
          <t>Module Test</t>
        </r>
        <r>
          <rPr>
            <b/>
            <sz val="8"/>
            <color indexed="81"/>
            <rFont val="Tahoma"/>
            <family val="2"/>
          </rPr>
          <t xml:space="preserve">
IT: </t>
        </r>
        <r>
          <rPr>
            <sz val="8"/>
            <color indexed="81"/>
            <rFont val="Tahoma"/>
            <family val="2"/>
          </rPr>
          <t>Integration Test</t>
        </r>
        <r>
          <rPr>
            <b/>
            <sz val="8"/>
            <color indexed="81"/>
            <rFont val="Tahoma"/>
            <family val="2"/>
          </rPr>
          <t xml:space="preserve">
ST: </t>
        </r>
        <r>
          <rPr>
            <sz val="8"/>
            <color indexed="81"/>
            <rFont val="Tahoma"/>
            <family val="2"/>
          </rPr>
          <t>SW System Test</t>
        </r>
        <r>
          <rPr>
            <b/>
            <sz val="8"/>
            <color indexed="81"/>
            <rFont val="Tahoma"/>
            <family val="2"/>
          </rPr>
          <t xml:space="preserve">
PV: </t>
        </r>
        <r>
          <rPr>
            <sz val="8"/>
            <color indexed="81"/>
            <rFont val="Tahoma"/>
            <family val="2"/>
          </rPr>
          <t xml:space="preserve">Product Validation
</t>
        </r>
        <r>
          <rPr>
            <b/>
            <sz val="8"/>
            <color indexed="81"/>
            <rFont val="Tahoma"/>
            <family val="2"/>
          </rPr>
          <t>PV SW</t>
        </r>
        <r>
          <rPr>
            <sz val="8"/>
            <color indexed="81"/>
            <rFont val="Tahoma"/>
            <family val="2"/>
          </rPr>
          <t xml:space="preserve">: PV Software
</t>
        </r>
        <r>
          <rPr>
            <b/>
            <sz val="8"/>
            <color indexed="81"/>
            <rFont val="Tahoma"/>
            <family val="2"/>
          </rPr>
          <t>PV MC</t>
        </r>
        <r>
          <rPr>
            <sz val="8"/>
            <color indexed="81"/>
            <rFont val="Tahoma"/>
            <family val="2"/>
          </rPr>
          <t xml:space="preserve">: PV Mechanical Climatical
</t>
        </r>
        <r>
          <rPr>
            <b/>
            <sz val="8"/>
            <color indexed="81"/>
            <rFont val="Tahoma"/>
            <family val="2"/>
          </rPr>
          <t>PV EE</t>
        </r>
        <r>
          <rPr>
            <sz val="8"/>
            <color indexed="81"/>
            <rFont val="Tahoma"/>
            <family val="2"/>
          </rPr>
          <t>: PV hardware</t>
        </r>
        <r>
          <rPr>
            <b/>
            <sz val="8"/>
            <color indexed="81"/>
            <rFont val="Tahoma"/>
            <family val="2"/>
          </rPr>
          <t xml:space="preserve">
CT: </t>
        </r>
        <r>
          <rPr>
            <sz val="8"/>
            <color indexed="81"/>
            <rFont val="Tahoma"/>
            <family val="2"/>
          </rPr>
          <t>Customer Required Test</t>
        </r>
      </text>
    </comment>
    <comment ref="F54" authorId="1" shapeId="0" xr:uid="{00000000-0006-0000-0500-000004000000}">
      <text>
        <r>
          <rPr>
            <b/>
            <sz val="8"/>
            <color indexed="81"/>
            <rFont val="Tahoma"/>
            <family val="2"/>
          </rPr>
          <t xml:space="preserve">Tailoring: Mandatory
TestTypes:
FULL: </t>
        </r>
        <r>
          <rPr>
            <sz val="8"/>
            <color indexed="81"/>
            <rFont val="Tahoma"/>
            <family val="2"/>
          </rPr>
          <t>Complete Scope of Test Spec</t>
        </r>
        <r>
          <rPr>
            <b/>
            <sz val="8"/>
            <color indexed="81"/>
            <rFont val="Tahoma"/>
            <family val="2"/>
          </rPr>
          <t xml:space="preserve">
REGR: </t>
        </r>
        <r>
          <rPr>
            <sz val="8"/>
            <color indexed="81"/>
            <rFont val="Tahoma"/>
            <family val="2"/>
          </rPr>
          <t>Regression Test</t>
        </r>
        <r>
          <rPr>
            <b/>
            <sz val="8"/>
            <color indexed="81"/>
            <rFont val="Tahoma"/>
            <family val="2"/>
          </rPr>
          <t xml:space="preserve">
SHOR: </t>
        </r>
        <r>
          <rPr>
            <sz val="8"/>
            <color indexed="81"/>
            <rFont val="Tahoma"/>
            <family val="2"/>
          </rPr>
          <t xml:space="preserve">Short Test
</t>
        </r>
        <r>
          <rPr>
            <b/>
            <sz val="8"/>
            <color indexed="81"/>
            <rFont val="Tahoma"/>
            <family val="2"/>
          </rPr>
          <t>INFORM:</t>
        </r>
        <r>
          <rPr>
            <sz val="8"/>
            <color indexed="81"/>
            <rFont val="Tahoma"/>
            <family val="2"/>
          </rPr>
          <t xml:space="preserve"> Informeller Kurztest</t>
        </r>
      </text>
    </comment>
    <comment ref="H54" authorId="0" shapeId="0" xr:uid="{00000000-0006-0000-0500-000005000000}">
      <text>
        <r>
          <rPr>
            <b/>
            <sz val="8"/>
            <color indexed="81"/>
            <rFont val="Tahoma"/>
            <family val="2"/>
          </rPr>
          <t>Tailoring: Mandatory</t>
        </r>
        <r>
          <rPr>
            <sz val="8"/>
            <color indexed="81"/>
            <rFont val="Tahoma"/>
            <family val="2"/>
          </rPr>
          <t xml:space="preserve">
Hint: Add sample or verson information if necessary
</t>
        </r>
      </text>
    </comment>
    <comment ref="I54" authorId="0" shapeId="0" xr:uid="{00000000-0006-0000-0500-000006000000}">
      <text>
        <r>
          <rPr>
            <b/>
            <sz val="8"/>
            <color indexed="81"/>
            <rFont val="Tahoma"/>
            <family val="2"/>
          </rPr>
          <t>Tailoring Mandatory</t>
        </r>
        <r>
          <rPr>
            <sz val="8"/>
            <color indexed="81"/>
            <rFont val="Tahoma"/>
            <family val="2"/>
          </rPr>
          <t xml:space="preserve">
</t>
        </r>
      </text>
    </comment>
    <comment ref="J54" authorId="2" shapeId="0" xr:uid="{00000000-0006-0000-0500-000007000000}">
      <text>
        <r>
          <rPr>
            <b/>
            <sz val="8"/>
            <color indexed="81"/>
            <rFont val="Tahoma"/>
            <family val="2"/>
          </rPr>
          <t>mandatory
Enter valid date
(text is formatted yellow)</t>
        </r>
      </text>
    </comment>
    <comment ref="K54" authorId="2" shapeId="0" xr:uid="{00000000-0006-0000-0500-000008000000}">
      <text>
        <r>
          <rPr>
            <b/>
            <sz val="8"/>
            <color indexed="81"/>
            <rFont val="Tahoma"/>
            <family val="2"/>
          </rPr>
          <t xml:space="preserve">
Enter valid date
(text is formatted yellow)</t>
        </r>
      </text>
    </comment>
    <comment ref="L54" authorId="2" shapeId="0" xr:uid="{00000000-0006-0000-0500-000009000000}">
      <text>
        <r>
          <rPr>
            <b/>
            <sz val="8"/>
            <color indexed="81"/>
            <rFont val="Tahoma"/>
            <family val="2"/>
          </rPr>
          <t xml:space="preserve">
Enter valid date
(text is formatted yellow)</t>
        </r>
      </text>
    </comment>
    <comment ref="M54" authorId="2" shapeId="0" xr:uid="{00000000-0006-0000-0500-00000A000000}">
      <text>
        <r>
          <rPr>
            <b/>
            <sz val="8"/>
            <color indexed="81"/>
            <rFont val="Tahoma"/>
            <family val="2"/>
          </rPr>
          <t>mandatory
Enter valid date
(text is formatted yellow)</t>
        </r>
      </text>
    </comment>
    <comment ref="N54" authorId="1" shapeId="0" xr:uid="{00000000-0006-0000-0500-00000B000000}">
      <text>
        <r>
          <rPr>
            <b/>
            <sz val="8"/>
            <color indexed="81"/>
            <rFont val="Tahoma"/>
            <family val="2"/>
          </rPr>
          <t xml:space="preserve">Tailoring: Mandatory
Status of Test:
PLA: </t>
        </r>
        <r>
          <rPr>
            <sz val="8"/>
            <color indexed="81"/>
            <rFont val="Tahoma"/>
            <family val="2"/>
          </rPr>
          <t xml:space="preserve">planned         =&gt; test is planned (due dates are known)
</t>
        </r>
        <r>
          <rPr>
            <b/>
            <sz val="8"/>
            <color indexed="81"/>
            <rFont val="Tahoma"/>
            <family val="2"/>
          </rPr>
          <t xml:space="preserve">EXE: </t>
        </r>
        <r>
          <rPr>
            <sz val="8"/>
            <color indexed="81"/>
            <rFont val="Tahoma"/>
            <family val="2"/>
          </rPr>
          <t>executed       =&gt; test is performed &amp; the Test Report is written</t>
        </r>
        <r>
          <rPr>
            <b/>
            <sz val="8"/>
            <color indexed="81"/>
            <rFont val="Tahoma"/>
            <family val="2"/>
          </rPr>
          <t xml:space="preserve">
DNE: </t>
        </r>
        <r>
          <rPr>
            <sz val="8"/>
            <color indexed="81"/>
            <rFont val="Tahoma"/>
            <family val="2"/>
          </rPr>
          <t xml:space="preserve">done             =&gt; test has been checked successfully </t>
        </r>
        <r>
          <rPr>
            <b/>
            <sz val="8"/>
            <color indexed="81"/>
            <rFont val="Tahoma"/>
            <family val="2"/>
          </rPr>
          <t xml:space="preserve">
DEF: </t>
        </r>
        <r>
          <rPr>
            <sz val="8"/>
            <color indexed="81"/>
            <rFont val="Tahoma"/>
            <family val="2"/>
          </rPr>
          <t xml:space="preserve">deferred       =&gt; test has delay 
</t>
        </r>
        <r>
          <rPr>
            <b/>
            <sz val="8"/>
            <color indexed="81"/>
            <rFont val="Tahoma"/>
            <family val="2"/>
          </rPr>
          <t>REJ:</t>
        </r>
        <r>
          <rPr>
            <sz val="8"/>
            <color indexed="81"/>
            <rFont val="Tahoma"/>
            <family val="2"/>
          </rPr>
          <t xml:space="preserve"> rejected        =&gt; test is canceled</t>
        </r>
      </text>
    </comment>
    <comment ref="O54" authorId="3" shapeId="0" xr:uid="{00000000-0006-0000-0500-00000C000000}">
      <text>
        <r>
          <rPr>
            <b/>
            <sz val="8"/>
            <color indexed="81"/>
            <rFont val="Tahoma"/>
            <family val="2"/>
          </rPr>
          <t>Tailoring: Mandatory
Test Result:</t>
        </r>
        <r>
          <rPr>
            <sz val="8"/>
            <color indexed="81"/>
            <rFont val="Tahoma"/>
            <family val="2"/>
          </rPr>
          <t xml:space="preserve">
</t>
        </r>
        <r>
          <rPr>
            <b/>
            <sz val="8"/>
            <color indexed="81"/>
            <rFont val="Tahoma"/>
            <family val="2"/>
          </rPr>
          <t xml:space="preserve"> passed </t>
        </r>
        <r>
          <rPr>
            <sz val="8"/>
            <color indexed="81"/>
            <rFont val="Tahoma"/>
            <family val="2"/>
          </rPr>
          <t xml:space="preserve">
- Test passed without any errors / deviations from expected results
- Test Object can be delivered without constraints
</t>
        </r>
        <r>
          <rPr>
            <b/>
            <sz val="8"/>
            <color indexed="81"/>
            <rFont val="Tahoma"/>
            <family val="2"/>
          </rPr>
          <t xml:space="preserve">conditionally accepted </t>
        </r>
        <r>
          <rPr>
            <sz val="8"/>
            <color indexed="81"/>
            <rFont val="Tahoma"/>
            <family val="2"/>
          </rPr>
          <t xml:space="preserve">
- Test passed with minor errors / deviations from expected results
- Test Object can be delivered with constraints described in Release Note 
</t>
        </r>
        <r>
          <rPr>
            <b/>
            <sz val="8"/>
            <color indexed="81"/>
            <rFont val="Tahoma"/>
            <family val="2"/>
          </rPr>
          <t xml:space="preserve">failed
=&gt; </t>
        </r>
        <r>
          <rPr>
            <sz val="8"/>
            <color indexed="81"/>
            <rFont val="Tahoma"/>
            <family val="2"/>
          </rPr>
          <t xml:space="preserve">retesting necessary!
- </t>
        </r>
        <r>
          <rPr>
            <sz val="8"/>
            <color indexed="81"/>
            <rFont val="Tahoma"/>
            <family val="2"/>
          </rPr>
          <t xml:space="preserve">Test failed, major errors / deviations from expected results
- Test Object cannot be delivered without fixing errors and retesting corrected code
</t>
        </r>
      </text>
    </comment>
    <comment ref="P54" authorId="0" shapeId="0" xr:uid="{00000000-0006-0000-0500-00000D000000}">
      <text>
        <r>
          <rPr>
            <b/>
            <sz val="8"/>
            <color indexed="81"/>
            <rFont val="Tahoma"/>
            <family val="2"/>
          </rPr>
          <t>Tailoring: Mandatory</t>
        </r>
        <r>
          <rPr>
            <sz val="8"/>
            <color indexed="81"/>
            <rFont val="Tahoma"/>
            <family val="2"/>
          </rPr>
          <t xml:space="preserve">
</t>
        </r>
      </text>
    </comment>
    <comment ref="Q54" authorId="3" shapeId="0" xr:uid="{00000000-0006-0000-0500-00000E000000}">
      <text>
        <r>
          <rPr>
            <b/>
            <sz val="8"/>
            <color indexed="81"/>
            <rFont val="Tahoma"/>
            <family val="2"/>
          </rPr>
          <t xml:space="preserve">Tailoring: Recommended 
Mandatory for Software Tests
Number of Test Cases executed in test </t>
        </r>
        <r>
          <rPr>
            <sz val="8"/>
            <color indexed="81"/>
            <rFont val="Tahoma"/>
            <family val="2"/>
          </rPr>
          <t xml:space="preserve">
</t>
        </r>
      </text>
    </comment>
    <comment ref="R54" authorId="0" shapeId="0" xr:uid="{00000000-0006-0000-0500-00000F000000}">
      <text>
        <r>
          <rPr>
            <b/>
            <sz val="8"/>
            <color indexed="81"/>
            <rFont val="Tahoma"/>
            <family val="2"/>
          </rPr>
          <t xml:space="preserve">Tailoring: Mandatory
</t>
        </r>
        <r>
          <rPr>
            <sz val="8"/>
            <color indexed="81"/>
            <rFont val="Tahoma"/>
            <family val="2"/>
          </rPr>
          <t xml:space="preserve">
</t>
        </r>
      </text>
    </comment>
    <comment ref="S54" authorId="0" shapeId="0" xr:uid="{00000000-0006-0000-0500-000010000000}">
      <text>
        <r>
          <rPr>
            <b/>
            <sz val="8"/>
            <color indexed="81"/>
            <rFont val="Tahoma"/>
            <family val="2"/>
          </rPr>
          <t>Tailoring Recommended</t>
        </r>
        <r>
          <rPr>
            <sz val="8"/>
            <color indexed="81"/>
            <rFont val="Tahoma"/>
            <family val="2"/>
          </rPr>
          <t xml:space="preserve">
</t>
        </r>
      </text>
    </comment>
    <comment ref="T54" authorId="2" shapeId="0" xr:uid="{00000000-0006-0000-0500-000011000000}">
      <text>
        <r>
          <rPr>
            <sz val="8"/>
            <color indexed="81"/>
            <rFont val="Tahoma"/>
            <family val="2"/>
          </rPr>
          <t xml:space="preserve">Tailoring:
Software mandatory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uidf3082</author>
    <author>Volker Ackermann</author>
    <author>Rainer Resch (uidf3082)</author>
    <author>uidf1974</author>
  </authors>
  <commentList>
    <comment ref="C54" authorId="0" shapeId="0" xr:uid="{CD156C8A-619E-4A41-8A78-939F8840B910}">
      <text>
        <r>
          <rPr>
            <b/>
            <sz val="8"/>
            <color indexed="81"/>
            <rFont val="Tahoma"/>
            <family val="2"/>
          </rPr>
          <t>Tailoring Mandatory 
Sample Phase
defined in Folder Legend</t>
        </r>
        <r>
          <rPr>
            <sz val="8"/>
            <color indexed="81"/>
            <rFont val="Tahoma"/>
            <family val="2"/>
          </rPr>
          <t xml:space="preserve">
</t>
        </r>
      </text>
    </comment>
    <comment ref="D54" authorId="0" shapeId="0" xr:uid="{8A0A9828-85F0-4915-A55A-7F9E904097D4}">
      <text>
        <r>
          <rPr>
            <b/>
            <sz val="8"/>
            <color indexed="81"/>
            <rFont val="Tahoma"/>
            <family val="2"/>
          </rPr>
          <t xml:space="preserve">Tailoring: Mandatory
EE  Hardware
SW  Software
ME Mechanical Design
PIT Product Integration Test
PV Product Validation
</t>
        </r>
      </text>
    </comment>
    <comment ref="E54" authorId="1" shapeId="0" xr:uid="{4058F1AB-E7C3-4ECB-A516-1F9B0E28ECB3}">
      <text>
        <r>
          <rPr>
            <b/>
            <sz val="8"/>
            <color indexed="81"/>
            <rFont val="Tahoma"/>
            <family val="2"/>
          </rPr>
          <t xml:space="preserve">Tailoring: Mandatory
Test Level:
MT: </t>
        </r>
        <r>
          <rPr>
            <sz val="8"/>
            <color indexed="81"/>
            <rFont val="Tahoma"/>
            <family val="2"/>
          </rPr>
          <t>Module Test</t>
        </r>
        <r>
          <rPr>
            <b/>
            <sz val="8"/>
            <color indexed="81"/>
            <rFont val="Tahoma"/>
            <family val="2"/>
          </rPr>
          <t xml:space="preserve">
IT: </t>
        </r>
        <r>
          <rPr>
            <sz val="8"/>
            <color indexed="81"/>
            <rFont val="Tahoma"/>
            <family val="2"/>
          </rPr>
          <t>Integration Test</t>
        </r>
        <r>
          <rPr>
            <b/>
            <sz val="8"/>
            <color indexed="81"/>
            <rFont val="Tahoma"/>
            <family val="2"/>
          </rPr>
          <t xml:space="preserve">
ST: </t>
        </r>
        <r>
          <rPr>
            <sz val="8"/>
            <color indexed="81"/>
            <rFont val="Tahoma"/>
            <family val="2"/>
          </rPr>
          <t>SW System Test</t>
        </r>
        <r>
          <rPr>
            <b/>
            <sz val="8"/>
            <color indexed="81"/>
            <rFont val="Tahoma"/>
            <family val="2"/>
          </rPr>
          <t xml:space="preserve">
PV: </t>
        </r>
        <r>
          <rPr>
            <sz val="8"/>
            <color indexed="81"/>
            <rFont val="Tahoma"/>
            <family val="2"/>
          </rPr>
          <t xml:space="preserve">Product Validation
</t>
        </r>
        <r>
          <rPr>
            <b/>
            <sz val="8"/>
            <color indexed="81"/>
            <rFont val="Tahoma"/>
            <family val="2"/>
          </rPr>
          <t>PV SW</t>
        </r>
        <r>
          <rPr>
            <sz val="8"/>
            <color indexed="81"/>
            <rFont val="Tahoma"/>
            <family val="2"/>
          </rPr>
          <t xml:space="preserve">: PV Software
</t>
        </r>
        <r>
          <rPr>
            <b/>
            <sz val="8"/>
            <color indexed="81"/>
            <rFont val="Tahoma"/>
            <family val="2"/>
          </rPr>
          <t>PV MC</t>
        </r>
        <r>
          <rPr>
            <sz val="8"/>
            <color indexed="81"/>
            <rFont val="Tahoma"/>
            <family val="2"/>
          </rPr>
          <t xml:space="preserve">: PV Mechanical Climatical
</t>
        </r>
        <r>
          <rPr>
            <b/>
            <sz val="8"/>
            <color indexed="81"/>
            <rFont val="Tahoma"/>
            <family val="2"/>
          </rPr>
          <t>PV EE</t>
        </r>
        <r>
          <rPr>
            <sz val="8"/>
            <color indexed="81"/>
            <rFont val="Tahoma"/>
            <family val="2"/>
          </rPr>
          <t>: PV hardware</t>
        </r>
        <r>
          <rPr>
            <b/>
            <sz val="8"/>
            <color indexed="81"/>
            <rFont val="Tahoma"/>
            <family val="2"/>
          </rPr>
          <t xml:space="preserve">
CT: </t>
        </r>
        <r>
          <rPr>
            <sz val="8"/>
            <color indexed="81"/>
            <rFont val="Tahoma"/>
            <family val="2"/>
          </rPr>
          <t>Customer Required Test</t>
        </r>
      </text>
    </comment>
    <comment ref="F54" authorId="1" shapeId="0" xr:uid="{4EDC4AEE-ED32-4926-BB06-733A3357B2E5}">
      <text>
        <r>
          <rPr>
            <b/>
            <sz val="8"/>
            <color indexed="81"/>
            <rFont val="Tahoma"/>
            <family val="2"/>
          </rPr>
          <t xml:space="preserve">Tailoring: Mandatory
TestTypes:
FULL: </t>
        </r>
        <r>
          <rPr>
            <sz val="8"/>
            <color indexed="81"/>
            <rFont val="Tahoma"/>
            <family val="2"/>
          </rPr>
          <t>Complete Scope of Test Spec</t>
        </r>
        <r>
          <rPr>
            <b/>
            <sz val="8"/>
            <color indexed="81"/>
            <rFont val="Tahoma"/>
            <family val="2"/>
          </rPr>
          <t xml:space="preserve">
REGR: </t>
        </r>
        <r>
          <rPr>
            <sz val="8"/>
            <color indexed="81"/>
            <rFont val="Tahoma"/>
            <family val="2"/>
          </rPr>
          <t>Regression Test</t>
        </r>
        <r>
          <rPr>
            <b/>
            <sz val="8"/>
            <color indexed="81"/>
            <rFont val="Tahoma"/>
            <family val="2"/>
          </rPr>
          <t xml:space="preserve">
SHOR: </t>
        </r>
        <r>
          <rPr>
            <sz val="8"/>
            <color indexed="81"/>
            <rFont val="Tahoma"/>
            <family val="2"/>
          </rPr>
          <t xml:space="preserve">Short Test
</t>
        </r>
        <r>
          <rPr>
            <b/>
            <sz val="8"/>
            <color indexed="81"/>
            <rFont val="Tahoma"/>
            <family val="2"/>
          </rPr>
          <t>INFORM:</t>
        </r>
        <r>
          <rPr>
            <sz val="8"/>
            <color indexed="81"/>
            <rFont val="Tahoma"/>
            <family val="2"/>
          </rPr>
          <t xml:space="preserve"> Informeller Kurztest</t>
        </r>
      </text>
    </comment>
    <comment ref="H54" authorId="0" shapeId="0" xr:uid="{803C8E3B-F635-42A0-8147-985291C24ECB}">
      <text>
        <r>
          <rPr>
            <b/>
            <sz val="8"/>
            <color indexed="81"/>
            <rFont val="Tahoma"/>
            <family val="2"/>
          </rPr>
          <t>Tailoring: Mandatory</t>
        </r>
        <r>
          <rPr>
            <sz val="8"/>
            <color indexed="81"/>
            <rFont val="Tahoma"/>
            <family val="2"/>
          </rPr>
          <t xml:space="preserve">
Hint: Add sample or verson information if necessary
</t>
        </r>
      </text>
    </comment>
    <comment ref="I54" authorId="0" shapeId="0" xr:uid="{F3A3B147-ABFB-4CEC-9224-F1EB385F5647}">
      <text>
        <r>
          <rPr>
            <b/>
            <sz val="8"/>
            <color indexed="81"/>
            <rFont val="Tahoma"/>
            <family val="2"/>
          </rPr>
          <t>Tailoring Mandatory</t>
        </r>
        <r>
          <rPr>
            <sz val="8"/>
            <color indexed="81"/>
            <rFont val="Tahoma"/>
            <family val="2"/>
          </rPr>
          <t xml:space="preserve">
</t>
        </r>
      </text>
    </comment>
    <comment ref="J54" authorId="2" shapeId="0" xr:uid="{851254E4-5893-462A-8E99-44E3389B3EA4}">
      <text>
        <r>
          <rPr>
            <b/>
            <sz val="8"/>
            <color indexed="81"/>
            <rFont val="Tahoma"/>
            <family val="2"/>
          </rPr>
          <t>mandatory
Enter valid date
(text is formatted yellow)</t>
        </r>
      </text>
    </comment>
    <comment ref="K54" authorId="2" shapeId="0" xr:uid="{3310739A-A751-49DE-BC99-2127D5416CFE}">
      <text>
        <r>
          <rPr>
            <b/>
            <sz val="8"/>
            <color indexed="81"/>
            <rFont val="Tahoma"/>
            <family val="2"/>
          </rPr>
          <t xml:space="preserve">
Enter valid date
(text is formatted yellow)</t>
        </r>
      </text>
    </comment>
    <comment ref="L54" authorId="2" shapeId="0" xr:uid="{84107A2F-3214-4B6A-9677-5CF33D56ABFA}">
      <text>
        <r>
          <rPr>
            <b/>
            <sz val="8"/>
            <color indexed="81"/>
            <rFont val="Tahoma"/>
            <family val="2"/>
          </rPr>
          <t xml:space="preserve">
Enter valid date
(text is formatted yellow)</t>
        </r>
      </text>
    </comment>
    <comment ref="M54" authorId="2" shapeId="0" xr:uid="{0D57CEE5-9602-419A-8DF4-E6B62BDD894E}">
      <text>
        <r>
          <rPr>
            <b/>
            <sz val="8"/>
            <color indexed="81"/>
            <rFont val="Tahoma"/>
            <family val="2"/>
          </rPr>
          <t>mandatory
Enter valid date
(text is formatted yellow)</t>
        </r>
      </text>
    </comment>
    <comment ref="N54" authorId="1" shapeId="0" xr:uid="{30775F51-190B-4292-82A0-0F6AD88BE3B0}">
      <text>
        <r>
          <rPr>
            <b/>
            <sz val="8"/>
            <color indexed="81"/>
            <rFont val="Tahoma"/>
            <family val="2"/>
          </rPr>
          <t xml:space="preserve">Tailoring: Mandatory
Status of Test:
PLA: </t>
        </r>
        <r>
          <rPr>
            <sz val="8"/>
            <color indexed="81"/>
            <rFont val="Tahoma"/>
            <family val="2"/>
          </rPr>
          <t xml:space="preserve">planned         =&gt; test is planned (due dates are known)
</t>
        </r>
        <r>
          <rPr>
            <b/>
            <sz val="8"/>
            <color indexed="81"/>
            <rFont val="Tahoma"/>
            <family val="2"/>
          </rPr>
          <t xml:space="preserve">EXE: </t>
        </r>
        <r>
          <rPr>
            <sz val="8"/>
            <color indexed="81"/>
            <rFont val="Tahoma"/>
            <family val="2"/>
          </rPr>
          <t>executed       =&gt; test is performed &amp; the Test Report is written</t>
        </r>
        <r>
          <rPr>
            <b/>
            <sz val="8"/>
            <color indexed="81"/>
            <rFont val="Tahoma"/>
            <family val="2"/>
          </rPr>
          <t xml:space="preserve">
DNE: </t>
        </r>
        <r>
          <rPr>
            <sz val="8"/>
            <color indexed="81"/>
            <rFont val="Tahoma"/>
            <family val="2"/>
          </rPr>
          <t xml:space="preserve">done             =&gt; test has been checked successfully </t>
        </r>
        <r>
          <rPr>
            <b/>
            <sz val="8"/>
            <color indexed="81"/>
            <rFont val="Tahoma"/>
            <family val="2"/>
          </rPr>
          <t xml:space="preserve">
DEF: </t>
        </r>
        <r>
          <rPr>
            <sz val="8"/>
            <color indexed="81"/>
            <rFont val="Tahoma"/>
            <family val="2"/>
          </rPr>
          <t xml:space="preserve">deferred       =&gt; test has delay 
</t>
        </r>
        <r>
          <rPr>
            <b/>
            <sz val="8"/>
            <color indexed="81"/>
            <rFont val="Tahoma"/>
            <family val="2"/>
          </rPr>
          <t>REJ:</t>
        </r>
        <r>
          <rPr>
            <sz val="8"/>
            <color indexed="81"/>
            <rFont val="Tahoma"/>
            <family val="2"/>
          </rPr>
          <t xml:space="preserve"> rejected        =&gt; test is canceled</t>
        </r>
      </text>
    </comment>
    <comment ref="O54" authorId="3" shapeId="0" xr:uid="{BC1648B1-6698-4F94-B207-6CF3FBA581B2}">
      <text>
        <r>
          <rPr>
            <b/>
            <sz val="8"/>
            <color indexed="81"/>
            <rFont val="Tahoma"/>
            <family val="2"/>
          </rPr>
          <t>Tailoring: Mandatory
Test Result:</t>
        </r>
        <r>
          <rPr>
            <sz val="8"/>
            <color indexed="81"/>
            <rFont val="Tahoma"/>
            <family val="2"/>
          </rPr>
          <t xml:space="preserve">
</t>
        </r>
        <r>
          <rPr>
            <b/>
            <sz val="8"/>
            <color indexed="81"/>
            <rFont val="Tahoma"/>
            <family val="2"/>
          </rPr>
          <t xml:space="preserve"> passed </t>
        </r>
        <r>
          <rPr>
            <sz val="8"/>
            <color indexed="81"/>
            <rFont val="Tahoma"/>
            <family val="2"/>
          </rPr>
          <t xml:space="preserve">
- Test passed without any errors / deviations from expected results
- Test Object can be delivered without constraints
</t>
        </r>
        <r>
          <rPr>
            <b/>
            <sz val="8"/>
            <color indexed="81"/>
            <rFont val="Tahoma"/>
            <family val="2"/>
          </rPr>
          <t xml:space="preserve">conditionally accepted </t>
        </r>
        <r>
          <rPr>
            <sz val="8"/>
            <color indexed="81"/>
            <rFont val="Tahoma"/>
            <family val="2"/>
          </rPr>
          <t xml:space="preserve">
- Test passed with minor errors / deviations from expected results
- Test Object can be delivered with constraints described in Release Note 
</t>
        </r>
        <r>
          <rPr>
            <b/>
            <sz val="8"/>
            <color indexed="81"/>
            <rFont val="Tahoma"/>
            <family val="2"/>
          </rPr>
          <t xml:space="preserve">failed
=&gt; </t>
        </r>
        <r>
          <rPr>
            <sz val="8"/>
            <color indexed="81"/>
            <rFont val="Tahoma"/>
            <family val="2"/>
          </rPr>
          <t xml:space="preserve">retesting necessary!
- </t>
        </r>
        <r>
          <rPr>
            <sz val="8"/>
            <color indexed="81"/>
            <rFont val="Tahoma"/>
            <family val="2"/>
          </rPr>
          <t xml:space="preserve">Test failed, major errors / deviations from expected results
- Test Object cannot be delivered without fixing errors and retesting corrected code
</t>
        </r>
      </text>
    </comment>
    <comment ref="P54" authorId="0" shapeId="0" xr:uid="{85421DE2-8C27-4322-B0C1-8DA87676A493}">
      <text>
        <r>
          <rPr>
            <b/>
            <sz val="8"/>
            <color indexed="81"/>
            <rFont val="Tahoma"/>
            <family val="2"/>
          </rPr>
          <t>Tailoring: Mandatory</t>
        </r>
        <r>
          <rPr>
            <sz val="8"/>
            <color indexed="81"/>
            <rFont val="Tahoma"/>
            <family val="2"/>
          </rPr>
          <t xml:space="preserve">
</t>
        </r>
      </text>
    </comment>
    <comment ref="Q54" authorId="3" shapeId="0" xr:uid="{A7D345BA-8603-40F0-AA6F-C37211241EF9}">
      <text>
        <r>
          <rPr>
            <b/>
            <sz val="8"/>
            <color indexed="81"/>
            <rFont val="Tahoma"/>
            <family val="2"/>
          </rPr>
          <t xml:space="preserve">Tailoring: Recommended 
Mandatory for Software Tests
Number of Test Cases executed in test </t>
        </r>
        <r>
          <rPr>
            <sz val="8"/>
            <color indexed="81"/>
            <rFont val="Tahoma"/>
            <family val="2"/>
          </rPr>
          <t xml:space="preserve">
</t>
        </r>
      </text>
    </comment>
    <comment ref="R54" authorId="0" shapeId="0" xr:uid="{94A4D779-5C16-4364-8027-DBEA99C0F2E2}">
      <text>
        <r>
          <rPr>
            <b/>
            <sz val="8"/>
            <color indexed="81"/>
            <rFont val="Tahoma"/>
            <family val="2"/>
          </rPr>
          <t xml:space="preserve">Tailoring: Mandatory
</t>
        </r>
        <r>
          <rPr>
            <sz val="8"/>
            <color indexed="81"/>
            <rFont val="Tahoma"/>
            <family val="2"/>
          </rPr>
          <t xml:space="preserve">
</t>
        </r>
      </text>
    </comment>
    <comment ref="S54" authorId="0" shapeId="0" xr:uid="{502F3B2D-D71C-4555-9BDC-8F363D222DC0}">
      <text>
        <r>
          <rPr>
            <b/>
            <sz val="8"/>
            <color indexed="81"/>
            <rFont val="Tahoma"/>
            <family val="2"/>
          </rPr>
          <t>Tailoring Recommended</t>
        </r>
        <r>
          <rPr>
            <sz val="8"/>
            <color indexed="81"/>
            <rFont val="Tahoma"/>
            <family val="2"/>
          </rPr>
          <t xml:space="preserve">
</t>
        </r>
      </text>
    </comment>
    <comment ref="T54" authorId="2" shapeId="0" xr:uid="{5B424E0E-8558-45DD-92A6-A64EA94F5CCA}">
      <text>
        <r>
          <rPr>
            <sz val="8"/>
            <color indexed="81"/>
            <rFont val="Tahoma"/>
            <family val="2"/>
          </rPr>
          <t xml:space="preserve">Tailoring:
Software mandatory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uidf3082</author>
    <author>Volker Ackermann</author>
    <author>Rainer Resch (uidf3082)</author>
    <author>uidf1974</author>
  </authors>
  <commentList>
    <comment ref="C54" authorId="0" shapeId="0" xr:uid="{ACB1F4D7-8147-447C-A946-6B8C1BE1BD1C}">
      <text>
        <r>
          <rPr>
            <b/>
            <sz val="8"/>
            <color indexed="81"/>
            <rFont val="Tahoma"/>
            <family val="2"/>
          </rPr>
          <t>Tailoring Mandatory 
Sample Phase
defined in Folder Legend</t>
        </r>
        <r>
          <rPr>
            <sz val="8"/>
            <color indexed="81"/>
            <rFont val="Tahoma"/>
            <family val="2"/>
          </rPr>
          <t xml:space="preserve">
</t>
        </r>
      </text>
    </comment>
    <comment ref="D54" authorId="0" shapeId="0" xr:uid="{44B0FB4C-5797-421F-839A-5EF46CD5353C}">
      <text>
        <r>
          <rPr>
            <b/>
            <sz val="8"/>
            <color indexed="81"/>
            <rFont val="Tahoma"/>
            <family val="2"/>
          </rPr>
          <t xml:space="preserve">Tailoring: Mandatory
EE  Hardware
SW  Software
ME Mechanical Design
PIT Product Integration Test
PV Product Validation
</t>
        </r>
      </text>
    </comment>
    <comment ref="E54" authorId="1" shapeId="0" xr:uid="{ADFF28D9-473A-4EC6-93BB-131DC4C237C3}">
      <text>
        <r>
          <rPr>
            <b/>
            <sz val="8"/>
            <color indexed="81"/>
            <rFont val="Tahoma"/>
            <family val="2"/>
          </rPr>
          <t xml:space="preserve">Tailoring: Mandatory
Test Level:
MT: </t>
        </r>
        <r>
          <rPr>
            <sz val="8"/>
            <color indexed="81"/>
            <rFont val="Tahoma"/>
            <family val="2"/>
          </rPr>
          <t>Module Test</t>
        </r>
        <r>
          <rPr>
            <b/>
            <sz val="8"/>
            <color indexed="81"/>
            <rFont val="Tahoma"/>
            <family val="2"/>
          </rPr>
          <t xml:space="preserve">
IT: </t>
        </r>
        <r>
          <rPr>
            <sz val="8"/>
            <color indexed="81"/>
            <rFont val="Tahoma"/>
            <family val="2"/>
          </rPr>
          <t>Integration Test</t>
        </r>
        <r>
          <rPr>
            <b/>
            <sz val="8"/>
            <color indexed="81"/>
            <rFont val="Tahoma"/>
            <family val="2"/>
          </rPr>
          <t xml:space="preserve">
ST: </t>
        </r>
        <r>
          <rPr>
            <sz val="8"/>
            <color indexed="81"/>
            <rFont val="Tahoma"/>
            <family val="2"/>
          </rPr>
          <t>SW System Test</t>
        </r>
        <r>
          <rPr>
            <b/>
            <sz val="8"/>
            <color indexed="81"/>
            <rFont val="Tahoma"/>
            <family val="2"/>
          </rPr>
          <t xml:space="preserve">
PV: </t>
        </r>
        <r>
          <rPr>
            <sz val="8"/>
            <color indexed="81"/>
            <rFont val="Tahoma"/>
            <family val="2"/>
          </rPr>
          <t xml:space="preserve">Product Validation
</t>
        </r>
        <r>
          <rPr>
            <b/>
            <sz val="8"/>
            <color indexed="81"/>
            <rFont val="Tahoma"/>
            <family val="2"/>
          </rPr>
          <t>PV SW</t>
        </r>
        <r>
          <rPr>
            <sz val="8"/>
            <color indexed="81"/>
            <rFont val="Tahoma"/>
            <family val="2"/>
          </rPr>
          <t xml:space="preserve">: PV Software
</t>
        </r>
        <r>
          <rPr>
            <b/>
            <sz val="8"/>
            <color indexed="81"/>
            <rFont val="Tahoma"/>
            <family val="2"/>
          </rPr>
          <t>PV MC</t>
        </r>
        <r>
          <rPr>
            <sz val="8"/>
            <color indexed="81"/>
            <rFont val="Tahoma"/>
            <family val="2"/>
          </rPr>
          <t xml:space="preserve">: PV Mechanical Climatical
</t>
        </r>
        <r>
          <rPr>
            <b/>
            <sz val="8"/>
            <color indexed="81"/>
            <rFont val="Tahoma"/>
            <family val="2"/>
          </rPr>
          <t>PV EE</t>
        </r>
        <r>
          <rPr>
            <sz val="8"/>
            <color indexed="81"/>
            <rFont val="Tahoma"/>
            <family val="2"/>
          </rPr>
          <t>: PV hardware</t>
        </r>
        <r>
          <rPr>
            <b/>
            <sz val="8"/>
            <color indexed="81"/>
            <rFont val="Tahoma"/>
            <family val="2"/>
          </rPr>
          <t xml:space="preserve">
CT: </t>
        </r>
        <r>
          <rPr>
            <sz val="8"/>
            <color indexed="81"/>
            <rFont val="Tahoma"/>
            <family val="2"/>
          </rPr>
          <t>Customer Required Test</t>
        </r>
      </text>
    </comment>
    <comment ref="F54" authorId="1" shapeId="0" xr:uid="{F76BAC5E-3E83-4220-9F4E-37D544615A22}">
      <text>
        <r>
          <rPr>
            <b/>
            <sz val="8"/>
            <color indexed="81"/>
            <rFont val="Tahoma"/>
            <family val="2"/>
          </rPr>
          <t xml:space="preserve">Tailoring: Mandatory
TestTypes:
FULL: </t>
        </r>
        <r>
          <rPr>
            <sz val="8"/>
            <color indexed="81"/>
            <rFont val="Tahoma"/>
            <family val="2"/>
          </rPr>
          <t>Complete Scope of Test Spec</t>
        </r>
        <r>
          <rPr>
            <b/>
            <sz val="8"/>
            <color indexed="81"/>
            <rFont val="Tahoma"/>
            <family val="2"/>
          </rPr>
          <t xml:space="preserve">
REGR: </t>
        </r>
        <r>
          <rPr>
            <sz val="8"/>
            <color indexed="81"/>
            <rFont val="Tahoma"/>
            <family val="2"/>
          </rPr>
          <t>Regression Test</t>
        </r>
        <r>
          <rPr>
            <b/>
            <sz val="8"/>
            <color indexed="81"/>
            <rFont val="Tahoma"/>
            <family val="2"/>
          </rPr>
          <t xml:space="preserve">
SHOR: </t>
        </r>
        <r>
          <rPr>
            <sz val="8"/>
            <color indexed="81"/>
            <rFont val="Tahoma"/>
            <family val="2"/>
          </rPr>
          <t xml:space="preserve">Short Test
</t>
        </r>
        <r>
          <rPr>
            <b/>
            <sz val="8"/>
            <color indexed="81"/>
            <rFont val="Tahoma"/>
            <family val="2"/>
          </rPr>
          <t>INFORM:</t>
        </r>
        <r>
          <rPr>
            <sz val="8"/>
            <color indexed="81"/>
            <rFont val="Tahoma"/>
            <family val="2"/>
          </rPr>
          <t xml:space="preserve"> Informeller Kurztest</t>
        </r>
      </text>
    </comment>
    <comment ref="H54" authorId="0" shapeId="0" xr:uid="{44FCF775-E2F6-4877-95E0-D9D318EB9E1E}">
      <text>
        <r>
          <rPr>
            <b/>
            <sz val="8"/>
            <color indexed="81"/>
            <rFont val="Tahoma"/>
            <family val="2"/>
          </rPr>
          <t>Tailoring: Mandatory</t>
        </r>
        <r>
          <rPr>
            <sz val="8"/>
            <color indexed="81"/>
            <rFont val="Tahoma"/>
            <family val="2"/>
          </rPr>
          <t xml:space="preserve">
Hint: Add sample or verson information if necessary
</t>
        </r>
      </text>
    </comment>
    <comment ref="I54" authorId="0" shapeId="0" xr:uid="{AD538FE3-2E34-45A2-A7B3-10DE5252FBE6}">
      <text>
        <r>
          <rPr>
            <b/>
            <sz val="8"/>
            <color indexed="81"/>
            <rFont val="Tahoma"/>
            <family val="2"/>
          </rPr>
          <t>Tailoring Mandatory</t>
        </r>
        <r>
          <rPr>
            <sz val="8"/>
            <color indexed="81"/>
            <rFont val="Tahoma"/>
            <family val="2"/>
          </rPr>
          <t xml:space="preserve">
</t>
        </r>
      </text>
    </comment>
    <comment ref="J54" authorId="2" shapeId="0" xr:uid="{95BF7CFB-7EF7-4592-B151-DF8BF052BEF9}">
      <text>
        <r>
          <rPr>
            <b/>
            <sz val="8"/>
            <color indexed="81"/>
            <rFont val="Tahoma"/>
            <family val="2"/>
          </rPr>
          <t>mandatory
Enter valid date
(text is formatted yellow)</t>
        </r>
      </text>
    </comment>
    <comment ref="K54" authorId="2" shapeId="0" xr:uid="{AE55EFE5-DEB3-45E6-9072-23308D093CE0}">
      <text>
        <r>
          <rPr>
            <b/>
            <sz val="8"/>
            <color indexed="81"/>
            <rFont val="Tahoma"/>
            <family val="2"/>
          </rPr>
          <t xml:space="preserve">
Enter valid date
(text is formatted yellow)</t>
        </r>
      </text>
    </comment>
    <comment ref="L54" authorId="2" shapeId="0" xr:uid="{E4BA578A-ABC7-475E-A380-170B3C0F6439}">
      <text>
        <r>
          <rPr>
            <b/>
            <sz val="8"/>
            <color indexed="81"/>
            <rFont val="Tahoma"/>
            <family val="2"/>
          </rPr>
          <t xml:space="preserve">
Enter valid date
(text is formatted yellow)</t>
        </r>
      </text>
    </comment>
    <comment ref="M54" authorId="2" shapeId="0" xr:uid="{EFF55809-AD31-425E-B31A-A585244CD92C}">
      <text>
        <r>
          <rPr>
            <b/>
            <sz val="8"/>
            <color indexed="81"/>
            <rFont val="Tahoma"/>
            <family val="2"/>
          </rPr>
          <t>mandatory
Enter valid date
(text is formatted yellow)</t>
        </r>
      </text>
    </comment>
    <comment ref="N54" authorId="1" shapeId="0" xr:uid="{3552DE94-7780-432B-9F42-B23B6571BE51}">
      <text>
        <r>
          <rPr>
            <b/>
            <sz val="8"/>
            <color indexed="81"/>
            <rFont val="Tahoma"/>
            <family val="2"/>
          </rPr>
          <t xml:space="preserve">Tailoring: Mandatory
Status of Test:
PLA: </t>
        </r>
        <r>
          <rPr>
            <sz val="8"/>
            <color indexed="81"/>
            <rFont val="Tahoma"/>
            <family val="2"/>
          </rPr>
          <t xml:space="preserve">planned         =&gt; test is planned (due dates are known)
</t>
        </r>
        <r>
          <rPr>
            <b/>
            <sz val="8"/>
            <color indexed="81"/>
            <rFont val="Tahoma"/>
            <family val="2"/>
          </rPr>
          <t xml:space="preserve">EXE: </t>
        </r>
        <r>
          <rPr>
            <sz val="8"/>
            <color indexed="81"/>
            <rFont val="Tahoma"/>
            <family val="2"/>
          </rPr>
          <t>executed       =&gt; test is performed &amp; the Test Report is written</t>
        </r>
        <r>
          <rPr>
            <b/>
            <sz val="8"/>
            <color indexed="81"/>
            <rFont val="Tahoma"/>
            <family val="2"/>
          </rPr>
          <t xml:space="preserve">
DNE: </t>
        </r>
        <r>
          <rPr>
            <sz val="8"/>
            <color indexed="81"/>
            <rFont val="Tahoma"/>
            <family val="2"/>
          </rPr>
          <t xml:space="preserve">done             =&gt; test has been checked successfully </t>
        </r>
        <r>
          <rPr>
            <b/>
            <sz val="8"/>
            <color indexed="81"/>
            <rFont val="Tahoma"/>
            <family val="2"/>
          </rPr>
          <t xml:space="preserve">
DEF: </t>
        </r>
        <r>
          <rPr>
            <sz val="8"/>
            <color indexed="81"/>
            <rFont val="Tahoma"/>
            <family val="2"/>
          </rPr>
          <t xml:space="preserve">deferred       =&gt; test has delay 
</t>
        </r>
        <r>
          <rPr>
            <b/>
            <sz val="8"/>
            <color indexed="81"/>
            <rFont val="Tahoma"/>
            <family val="2"/>
          </rPr>
          <t>REJ:</t>
        </r>
        <r>
          <rPr>
            <sz val="8"/>
            <color indexed="81"/>
            <rFont val="Tahoma"/>
            <family val="2"/>
          </rPr>
          <t xml:space="preserve"> rejected        =&gt; test is canceled</t>
        </r>
      </text>
    </comment>
    <comment ref="O54" authorId="3" shapeId="0" xr:uid="{4350ACC1-D9BD-4C89-A6B0-0620C4346255}">
      <text>
        <r>
          <rPr>
            <b/>
            <sz val="8"/>
            <color indexed="81"/>
            <rFont val="Tahoma"/>
            <family val="2"/>
          </rPr>
          <t>Tailoring: Mandatory
Test Result:</t>
        </r>
        <r>
          <rPr>
            <sz val="8"/>
            <color indexed="81"/>
            <rFont val="Tahoma"/>
            <family val="2"/>
          </rPr>
          <t xml:space="preserve">
</t>
        </r>
        <r>
          <rPr>
            <b/>
            <sz val="8"/>
            <color indexed="81"/>
            <rFont val="Tahoma"/>
            <family val="2"/>
          </rPr>
          <t xml:space="preserve"> passed </t>
        </r>
        <r>
          <rPr>
            <sz val="8"/>
            <color indexed="81"/>
            <rFont val="Tahoma"/>
            <family val="2"/>
          </rPr>
          <t xml:space="preserve">
- Test passed without any errors / deviations from expected results
- Test Object can be delivered without constraints
</t>
        </r>
        <r>
          <rPr>
            <b/>
            <sz val="8"/>
            <color indexed="81"/>
            <rFont val="Tahoma"/>
            <family val="2"/>
          </rPr>
          <t xml:space="preserve">conditionally accepted </t>
        </r>
        <r>
          <rPr>
            <sz val="8"/>
            <color indexed="81"/>
            <rFont val="Tahoma"/>
            <family val="2"/>
          </rPr>
          <t xml:space="preserve">
- Test passed with minor errors / deviations from expected results
- Test Object can be delivered with constraints described in Release Note 
</t>
        </r>
        <r>
          <rPr>
            <b/>
            <sz val="8"/>
            <color indexed="81"/>
            <rFont val="Tahoma"/>
            <family val="2"/>
          </rPr>
          <t xml:space="preserve">failed
=&gt; </t>
        </r>
        <r>
          <rPr>
            <sz val="8"/>
            <color indexed="81"/>
            <rFont val="Tahoma"/>
            <family val="2"/>
          </rPr>
          <t xml:space="preserve">retesting necessary!
- </t>
        </r>
        <r>
          <rPr>
            <sz val="8"/>
            <color indexed="81"/>
            <rFont val="Tahoma"/>
            <family val="2"/>
          </rPr>
          <t xml:space="preserve">Test failed, major errors / deviations from expected results
- Test Object cannot be delivered without fixing errors and retesting corrected code
</t>
        </r>
      </text>
    </comment>
    <comment ref="P54" authorId="0" shapeId="0" xr:uid="{322D2E14-2462-4BCB-8E8F-DA064CE57B83}">
      <text>
        <r>
          <rPr>
            <b/>
            <sz val="8"/>
            <color indexed="81"/>
            <rFont val="Tahoma"/>
            <family val="2"/>
          </rPr>
          <t>Tailoring: Mandatory</t>
        </r>
        <r>
          <rPr>
            <sz val="8"/>
            <color indexed="81"/>
            <rFont val="Tahoma"/>
            <family val="2"/>
          </rPr>
          <t xml:space="preserve">
</t>
        </r>
      </text>
    </comment>
    <comment ref="Q54" authorId="3" shapeId="0" xr:uid="{A30F4DEB-0873-4665-A4B0-6049AAE22448}">
      <text>
        <r>
          <rPr>
            <b/>
            <sz val="8"/>
            <color indexed="81"/>
            <rFont val="Tahoma"/>
            <family val="2"/>
          </rPr>
          <t xml:space="preserve">Tailoring: Recommended 
Mandatory for Software Tests
Number of Test Cases executed in test </t>
        </r>
        <r>
          <rPr>
            <sz val="8"/>
            <color indexed="81"/>
            <rFont val="Tahoma"/>
            <family val="2"/>
          </rPr>
          <t xml:space="preserve">
</t>
        </r>
      </text>
    </comment>
    <comment ref="R54" authorId="0" shapeId="0" xr:uid="{F9BBC8EB-EB87-4C4E-ABE2-68659DF81235}">
      <text>
        <r>
          <rPr>
            <b/>
            <sz val="8"/>
            <color indexed="81"/>
            <rFont val="Tahoma"/>
            <family val="2"/>
          </rPr>
          <t xml:space="preserve">Tailoring: Mandatory
</t>
        </r>
        <r>
          <rPr>
            <sz val="8"/>
            <color indexed="81"/>
            <rFont val="Tahoma"/>
            <family val="2"/>
          </rPr>
          <t xml:space="preserve">
</t>
        </r>
      </text>
    </comment>
    <comment ref="S54" authorId="0" shapeId="0" xr:uid="{17B3F87D-4C8D-494B-B48D-D2F48B0AAB3A}">
      <text>
        <r>
          <rPr>
            <b/>
            <sz val="8"/>
            <color indexed="81"/>
            <rFont val="Tahoma"/>
            <family val="2"/>
          </rPr>
          <t>Tailoring Recommended</t>
        </r>
        <r>
          <rPr>
            <sz val="8"/>
            <color indexed="81"/>
            <rFont val="Tahoma"/>
            <family val="2"/>
          </rPr>
          <t xml:space="preserve">
</t>
        </r>
      </text>
    </comment>
    <comment ref="T54" authorId="2" shapeId="0" xr:uid="{2445A392-C7E4-4F6F-A3AA-35D39DE0E217}">
      <text>
        <r>
          <rPr>
            <sz val="8"/>
            <color indexed="81"/>
            <rFont val="Tahoma"/>
            <family val="2"/>
          </rPr>
          <t xml:space="preserve">Tailoring:
Software mandatory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uidf3082</author>
    <author>Volker Ackermann</author>
    <author>Rainer Resch (uidf3082)</author>
    <author>uidf1974</author>
  </authors>
  <commentList>
    <comment ref="C53" authorId="0" shapeId="0" xr:uid="{1F428C28-13B8-438A-90E5-5786DD2A297A}">
      <text>
        <r>
          <rPr>
            <b/>
            <sz val="8"/>
            <color indexed="81"/>
            <rFont val="Tahoma"/>
            <family val="2"/>
          </rPr>
          <t>Tailoring Mandatory 
Sample Phase
defined in Folder Legend</t>
        </r>
        <r>
          <rPr>
            <sz val="8"/>
            <color indexed="81"/>
            <rFont val="Tahoma"/>
            <family val="2"/>
          </rPr>
          <t xml:space="preserve">
</t>
        </r>
      </text>
    </comment>
    <comment ref="D53" authorId="0" shapeId="0" xr:uid="{BC5A2355-FBB8-4A3E-891B-53393CB38F53}">
      <text>
        <r>
          <rPr>
            <b/>
            <sz val="8"/>
            <color indexed="81"/>
            <rFont val="Tahoma"/>
            <family val="2"/>
          </rPr>
          <t xml:space="preserve">Tailoring: Mandatory
EE  Hardware
SW  Software
ME Mechanical Design
PIT Product Integration Test
PV Product Validation
</t>
        </r>
      </text>
    </comment>
    <comment ref="E53" authorId="1" shapeId="0" xr:uid="{F8CF9599-DC7D-446F-BA59-5F9A902E07D5}">
      <text>
        <r>
          <rPr>
            <b/>
            <sz val="8"/>
            <color indexed="81"/>
            <rFont val="Tahoma"/>
            <family val="2"/>
          </rPr>
          <t xml:space="preserve">Tailoring: Mandatory
Test Level:
MT: </t>
        </r>
        <r>
          <rPr>
            <sz val="8"/>
            <color indexed="81"/>
            <rFont val="Tahoma"/>
            <family val="2"/>
          </rPr>
          <t>Module Test</t>
        </r>
        <r>
          <rPr>
            <b/>
            <sz val="8"/>
            <color indexed="81"/>
            <rFont val="Tahoma"/>
            <family val="2"/>
          </rPr>
          <t xml:space="preserve">
IT: </t>
        </r>
        <r>
          <rPr>
            <sz val="8"/>
            <color indexed="81"/>
            <rFont val="Tahoma"/>
            <family val="2"/>
          </rPr>
          <t>Integration Test</t>
        </r>
        <r>
          <rPr>
            <b/>
            <sz val="8"/>
            <color indexed="81"/>
            <rFont val="Tahoma"/>
            <family val="2"/>
          </rPr>
          <t xml:space="preserve">
ST: </t>
        </r>
        <r>
          <rPr>
            <sz val="8"/>
            <color indexed="81"/>
            <rFont val="Tahoma"/>
            <family val="2"/>
          </rPr>
          <t>SW System Test</t>
        </r>
        <r>
          <rPr>
            <b/>
            <sz val="8"/>
            <color indexed="81"/>
            <rFont val="Tahoma"/>
            <family val="2"/>
          </rPr>
          <t xml:space="preserve">
PV: </t>
        </r>
        <r>
          <rPr>
            <sz val="8"/>
            <color indexed="81"/>
            <rFont val="Tahoma"/>
            <family val="2"/>
          </rPr>
          <t xml:space="preserve">Product Validation
</t>
        </r>
        <r>
          <rPr>
            <b/>
            <sz val="8"/>
            <color indexed="81"/>
            <rFont val="Tahoma"/>
            <family val="2"/>
          </rPr>
          <t>PV SW</t>
        </r>
        <r>
          <rPr>
            <sz val="8"/>
            <color indexed="81"/>
            <rFont val="Tahoma"/>
            <family val="2"/>
          </rPr>
          <t xml:space="preserve">: PV Software
</t>
        </r>
        <r>
          <rPr>
            <b/>
            <sz val="8"/>
            <color indexed="81"/>
            <rFont val="Tahoma"/>
            <family val="2"/>
          </rPr>
          <t>PV MC</t>
        </r>
        <r>
          <rPr>
            <sz val="8"/>
            <color indexed="81"/>
            <rFont val="Tahoma"/>
            <family val="2"/>
          </rPr>
          <t xml:space="preserve">: PV Mechanical Climatical
</t>
        </r>
        <r>
          <rPr>
            <b/>
            <sz val="8"/>
            <color indexed="81"/>
            <rFont val="Tahoma"/>
            <family val="2"/>
          </rPr>
          <t>PV EE</t>
        </r>
        <r>
          <rPr>
            <sz val="8"/>
            <color indexed="81"/>
            <rFont val="Tahoma"/>
            <family val="2"/>
          </rPr>
          <t>: PV hardware</t>
        </r>
        <r>
          <rPr>
            <b/>
            <sz val="8"/>
            <color indexed="81"/>
            <rFont val="Tahoma"/>
            <family val="2"/>
          </rPr>
          <t xml:space="preserve">
CT: </t>
        </r>
        <r>
          <rPr>
            <sz val="8"/>
            <color indexed="81"/>
            <rFont val="Tahoma"/>
            <family val="2"/>
          </rPr>
          <t>Customer Required Test</t>
        </r>
      </text>
    </comment>
    <comment ref="F53" authorId="1" shapeId="0" xr:uid="{140AF648-94DB-487A-B3A8-E6EE52BE0C02}">
      <text>
        <r>
          <rPr>
            <b/>
            <sz val="8"/>
            <color indexed="81"/>
            <rFont val="Tahoma"/>
            <family val="2"/>
          </rPr>
          <t xml:space="preserve">Tailoring: Mandatory
TestTypes:
FULL: </t>
        </r>
        <r>
          <rPr>
            <sz val="8"/>
            <color indexed="81"/>
            <rFont val="Tahoma"/>
            <family val="2"/>
          </rPr>
          <t>Complete Scope of Test Spec</t>
        </r>
        <r>
          <rPr>
            <b/>
            <sz val="8"/>
            <color indexed="81"/>
            <rFont val="Tahoma"/>
            <family val="2"/>
          </rPr>
          <t xml:space="preserve">
REGR: </t>
        </r>
        <r>
          <rPr>
            <sz val="8"/>
            <color indexed="81"/>
            <rFont val="Tahoma"/>
            <family val="2"/>
          </rPr>
          <t>Regression Test</t>
        </r>
        <r>
          <rPr>
            <b/>
            <sz val="8"/>
            <color indexed="81"/>
            <rFont val="Tahoma"/>
            <family val="2"/>
          </rPr>
          <t xml:space="preserve">
SHOR: </t>
        </r>
        <r>
          <rPr>
            <sz val="8"/>
            <color indexed="81"/>
            <rFont val="Tahoma"/>
            <family val="2"/>
          </rPr>
          <t xml:space="preserve">Short Test
</t>
        </r>
        <r>
          <rPr>
            <b/>
            <sz val="8"/>
            <color indexed="81"/>
            <rFont val="Tahoma"/>
            <family val="2"/>
          </rPr>
          <t>INFORM:</t>
        </r>
        <r>
          <rPr>
            <sz val="8"/>
            <color indexed="81"/>
            <rFont val="Tahoma"/>
            <family val="2"/>
          </rPr>
          <t xml:space="preserve"> Informeller Kurztest</t>
        </r>
      </text>
    </comment>
    <comment ref="H53" authorId="0" shapeId="0" xr:uid="{1FD67E7B-0523-41F8-92BB-D0E2AB2655D4}">
      <text>
        <r>
          <rPr>
            <b/>
            <sz val="8"/>
            <color indexed="81"/>
            <rFont val="Tahoma"/>
            <family val="2"/>
          </rPr>
          <t>Tailoring: Mandatory</t>
        </r>
        <r>
          <rPr>
            <sz val="8"/>
            <color indexed="81"/>
            <rFont val="Tahoma"/>
            <family val="2"/>
          </rPr>
          <t xml:space="preserve">
Hint: Add sample or verson information if necessary
</t>
        </r>
      </text>
    </comment>
    <comment ref="I53" authorId="0" shapeId="0" xr:uid="{17C4DD88-25C0-4903-92B8-2DF27D334932}">
      <text>
        <r>
          <rPr>
            <b/>
            <sz val="8"/>
            <color indexed="81"/>
            <rFont val="Tahoma"/>
            <family val="2"/>
          </rPr>
          <t>Tailoring Mandatory</t>
        </r>
        <r>
          <rPr>
            <sz val="8"/>
            <color indexed="81"/>
            <rFont val="Tahoma"/>
            <family val="2"/>
          </rPr>
          <t xml:space="preserve">
</t>
        </r>
      </text>
    </comment>
    <comment ref="J53" authorId="2" shapeId="0" xr:uid="{1B584EA6-7431-4E33-9353-4A700B12E4DD}">
      <text>
        <r>
          <rPr>
            <b/>
            <sz val="8"/>
            <color indexed="81"/>
            <rFont val="Tahoma"/>
            <family val="2"/>
          </rPr>
          <t>mandatory
Enter valid date
(text is formatted yellow)</t>
        </r>
      </text>
    </comment>
    <comment ref="K53" authorId="2" shapeId="0" xr:uid="{B007526A-3D9C-452C-B594-1AD10653B0CA}">
      <text>
        <r>
          <rPr>
            <b/>
            <sz val="8"/>
            <color indexed="81"/>
            <rFont val="Tahoma"/>
            <family val="2"/>
          </rPr>
          <t xml:space="preserve">
Enter valid date
(text is formatted yellow)</t>
        </r>
      </text>
    </comment>
    <comment ref="L53" authorId="2" shapeId="0" xr:uid="{2664280C-8470-4CA0-85C7-A4B688A4B820}">
      <text>
        <r>
          <rPr>
            <b/>
            <sz val="8"/>
            <color indexed="81"/>
            <rFont val="Tahoma"/>
            <family val="2"/>
          </rPr>
          <t xml:space="preserve">
Enter valid date
(text is formatted yellow)</t>
        </r>
      </text>
    </comment>
    <comment ref="M53" authorId="2" shapeId="0" xr:uid="{71CB62FC-6E1B-4A0B-A710-624230ECBE52}">
      <text>
        <r>
          <rPr>
            <b/>
            <sz val="8"/>
            <color indexed="81"/>
            <rFont val="Tahoma"/>
            <family val="2"/>
          </rPr>
          <t>mandatory
Enter valid date
(text is formatted yellow)</t>
        </r>
      </text>
    </comment>
    <comment ref="N53" authorId="1" shapeId="0" xr:uid="{611CFB5E-9561-4959-8B7F-C31C22D43FEE}">
      <text>
        <r>
          <rPr>
            <b/>
            <sz val="8"/>
            <color indexed="81"/>
            <rFont val="Tahoma"/>
            <family val="2"/>
          </rPr>
          <t xml:space="preserve">Tailoring: Mandatory
Status of Test:
PLA: </t>
        </r>
        <r>
          <rPr>
            <sz val="8"/>
            <color indexed="81"/>
            <rFont val="Tahoma"/>
            <family val="2"/>
          </rPr>
          <t xml:space="preserve">planned         =&gt; test is planned (due dates are known)
</t>
        </r>
        <r>
          <rPr>
            <b/>
            <sz val="8"/>
            <color indexed="81"/>
            <rFont val="Tahoma"/>
            <family val="2"/>
          </rPr>
          <t xml:space="preserve">EXE: </t>
        </r>
        <r>
          <rPr>
            <sz val="8"/>
            <color indexed="81"/>
            <rFont val="Tahoma"/>
            <family val="2"/>
          </rPr>
          <t>executed       =&gt; test is performed &amp; the Test Report is written</t>
        </r>
        <r>
          <rPr>
            <b/>
            <sz val="8"/>
            <color indexed="81"/>
            <rFont val="Tahoma"/>
            <family val="2"/>
          </rPr>
          <t xml:space="preserve">
DNE: </t>
        </r>
        <r>
          <rPr>
            <sz val="8"/>
            <color indexed="81"/>
            <rFont val="Tahoma"/>
            <family val="2"/>
          </rPr>
          <t xml:space="preserve">done             =&gt; test has been checked successfully </t>
        </r>
        <r>
          <rPr>
            <b/>
            <sz val="8"/>
            <color indexed="81"/>
            <rFont val="Tahoma"/>
            <family val="2"/>
          </rPr>
          <t xml:space="preserve">
DEF: </t>
        </r>
        <r>
          <rPr>
            <sz val="8"/>
            <color indexed="81"/>
            <rFont val="Tahoma"/>
            <family val="2"/>
          </rPr>
          <t xml:space="preserve">deferred       =&gt; test has delay 
</t>
        </r>
        <r>
          <rPr>
            <b/>
            <sz val="8"/>
            <color indexed="81"/>
            <rFont val="Tahoma"/>
            <family val="2"/>
          </rPr>
          <t>REJ:</t>
        </r>
        <r>
          <rPr>
            <sz val="8"/>
            <color indexed="81"/>
            <rFont val="Tahoma"/>
            <family val="2"/>
          </rPr>
          <t xml:space="preserve"> rejected        =&gt; test is canceled</t>
        </r>
      </text>
    </comment>
    <comment ref="O53" authorId="3" shapeId="0" xr:uid="{B7DE514F-7A82-4AED-9E74-5840E84FF481}">
      <text>
        <r>
          <rPr>
            <b/>
            <sz val="8"/>
            <color indexed="81"/>
            <rFont val="Tahoma"/>
            <family val="2"/>
          </rPr>
          <t>Tailoring: Mandatory
Test Result:</t>
        </r>
        <r>
          <rPr>
            <sz val="8"/>
            <color indexed="81"/>
            <rFont val="Tahoma"/>
            <family val="2"/>
          </rPr>
          <t xml:space="preserve">
</t>
        </r>
        <r>
          <rPr>
            <b/>
            <sz val="8"/>
            <color indexed="81"/>
            <rFont val="Tahoma"/>
            <family val="2"/>
          </rPr>
          <t xml:space="preserve"> passed </t>
        </r>
        <r>
          <rPr>
            <sz val="8"/>
            <color indexed="81"/>
            <rFont val="Tahoma"/>
            <family val="2"/>
          </rPr>
          <t xml:space="preserve">
- Test passed without any errors / deviations from expected results
- Test Object can be delivered without constraints
</t>
        </r>
        <r>
          <rPr>
            <b/>
            <sz val="8"/>
            <color indexed="81"/>
            <rFont val="Tahoma"/>
            <family val="2"/>
          </rPr>
          <t xml:space="preserve">conditionally accepted </t>
        </r>
        <r>
          <rPr>
            <sz val="8"/>
            <color indexed="81"/>
            <rFont val="Tahoma"/>
            <family val="2"/>
          </rPr>
          <t xml:space="preserve">
- Test passed with minor errors / deviations from expected results
- Test Object can be delivered with constraints described in Release Note 
</t>
        </r>
        <r>
          <rPr>
            <b/>
            <sz val="8"/>
            <color indexed="81"/>
            <rFont val="Tahoma"/>
            <family val="2"/>
          </rPr>
          <t xml:space="preserve">failed
=&gt; </t>
        </r>
        <r>
          <rPr>
            <sz val="8"/>
            <color indexed="81"/>
            <rFont val="Tahoma"/>
            <family val="2"/>
          </rPr>
          <t xml:space="preserve">retesting necessary!
- </t>
        </r>
        <r>
          <rPr>
            <sz val="8"/>
            <color indexed="81"/>
            <rFont val="Tahoma"/>
            <family val="2"/>
          </rPr>
          <t xml:space="preserve">Test failed, major errors / deviations from expected results
- Test Object cannot be delivered without fixing errors and retesting corrected code
</t>
        </r>
      </text>
    </comment>
    <comment ref="P53" authorId="0" shapeId="0" xr:uid="{04FDAB2E-249D-4159-8042-24924484C7B3}">
      <text>
        <r>
          <rPr>
            <b/>
            <sz val="8"/>
            <color indexed="81"/>
            <rFont val="Tahoma"/>
            <family val="2"/>
          </rPr>
          <t>Tailoring: Mandatory</t>
        </r>
        <r>
          <rPr>
            <sz val="8"/>
            <color indexed="81"/>
            <rFont val="Tahoma"/>
            <family val="2"/>
          </rPr>
          <t xml:space="preserve">
</t>
        </r>
      </text>
    </comment>
    <comment ref="Q53" authorId="3" shapeId="0" xr:uid="{B2562E3A-3C2F-4444-8C67-6BBD182E7355}">
      <text>
        <r>
          <rPr>
            <b/>
            <sz val="8"/>
            <color indexed="81"/>
            <rFont val="Tahoma"/>
            <family val="2"/>
          </rPr>
          <t xml:space="preserve">Tailoring: Recommended 
Mandatory for Software Tests
Number of Test Cases executed in test </t>
        </r>
        <r>
          <rPr>
            <sz val="8"/>
            <color indexed="81"/>
            <rFont val="Tahoma"/>
            <family val="2"/>
          </rPr>
          <t xml:space="preserve">
</t>
        </r>
      </text>
    </comment>
    <comment ref="R53" authorId="0" shapeId="0" xr:uid="{F1069C38-B3B7-43ED-AF37-D0E858E1E120}">
      <text>
        <r>
          <rPr>
            <b/>
            <sz val="8"/>
            <color indexed="81"/>
            <rFont val="Tahoma"/>
            <family val="2"/>
          </rPr>
          <t xml:space="preserve">Tailoring: Mandatory
</t>
        </r>
        <r>
          <rPr>
            <sz val="8"/>
            <color indexed="81"/>
            <rFont val="Tahoma"/>
            <family val="2"/>
          </rPr>
          <t xml:space="preserve">
</t>
        </r>
      </text>
    </comment>
    <comment ref="S53" authorId="0" shapeId="0" xr:uid="{56DF0F9E-78DA-4969-B793-CA6B114CF44D}">
      <text>
        <r>
          <rPr>
            <b/>
            <sz val="8"/>
            <color indexed="81"/>
            <rFont val="Tahoma"/>
            <family val="2"/>
          </rPr>
          <t>Tailoring Recommended</t>
        </r>
        <r>
          <rPr>
            <sz val="8"/>
            <color indexed="81"/>
            <rFont val="Tahoma"/>
            <family val="2"/>
          </rPr>
          <t xml:space="preserve">
</t>
        </r>
      </text>
    </comment>
    <comment ref="T53" authorId="2" shapeId="0" xr:uid="{1E4ACA89-B47E-40EF-9513-DE44D3C053C0}">
      <text>
        <r>
          <rPr>
            <sz val="8"/>
            <color indexed="81"/>
            <rFont val="Tahoma"/>
            <family val="2"/>
          </rPr>
          <t xml:space="preserve">Tailoring:
Software mandatory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uidf3082</author>
    <author>Volker Ackermann</author>
    <author>Rainer Resch (uidf3082)</author>
    <author>uidf1974</author>
  </authors>
  <commentList>
    <comment ref="C52" authorId="0" shapeId="0" xr:uid="{265AC94F-769F-49B6-A7FB-CBE06F36271B}">
      <text>
        <r>
          <rPr>
            <b/>
            <sz val="8"/>
            <color indexed="81"/>
            <rFont val="Tahoma"/>
            <family val="2"/>
          </rPr>
          <t>Tailoring Mandatory 
Sample Phase
defined in Folder Legend</t>
        </r>
        <r>
          <rPr>
            <sz val="8"/>
            <color indexed="81"/>
            <rFont val="Tahoma"/>
            <family val="2"/>
          </rPr>
          <t xml:space="preserve">
</t>
        </r>
      </text>
    </comment>
    <comment ref="D52" authorId="0" shapeId="0" xr:uid="{EC23764D-BE0B-449C-A6D2-053D71DB31C8}">
      <text>
        <r>
          <rPr>
            <b/>
            <sz val="8"/>
            <color indexed="81"/>
            <rFont val="Tahoma"/>
            <family val="2"/>
          </rPr>
          <t xml:space="preserve">Tailoring: Mandatory
EE  Hardware
SW  Software
ME Mechanical Design
PIT Product Integration Test
PV Product Validation
</t>
        </r>
      </text>
    </comment>
    <comment ref="E52" authorId="1" shapeId="0" xr:uid="{4423DDD6-3B2B-4B14-990F-9D983ED40446}">
      <text>
        <r>
          <rPr>
            <b/>
            <sz val="8"/>
            <color indexed="81"/>
            <rFont val="Tahoma"/>
            <family val="2"/>
          </rPr>
          <t xml:space="preserve">Tailoring: Mandatory
Test Level:
MT: </t>
        </r>
        <r>
          <rPr>
            <sz val="8"/>
            <color indexed="81"/>
            <rFont val="Tahoma"/>
            <family val="2"/>
          </rPr>
          <t>Module Test</t>
        </r>
        <r>
          <rPr>
            <b/>
            <sz val="8"/>
            <color indexed="81"/>
            <rFont val="Tahoma"/>
            <family val="2"/>
          </rPr>
          <t xml:space="preserve">
IT: </t>
        </r>
        <r>
          <rPr>
            <sz val="8"/>
            <color indexed="81"/>
            <rFont val="Tahoma"/>
            <family val="2"/>
          </rPr>
          <t>Integration Test</t>
        </r>
        <r>
          <rPr>
            <b/>
            <sz val="8"/>
            <color indexed="81"/>
            <rFont val="Tahoma"/>
            <family val="2"/>
          </rPr>
          <t xml:space="preserve">
ST: </t>
        </r>
        <r>
          <rPr>
            <sz val="8"/>
            <color indexed="81"/>
            <rFont val="Tahoma"/>
            <family val="2"/>
          </rPr>
          <t>SW System Test</t>
        </r>
        <r>
          <rPr>
            <b/>
            <sz val="8"/>
            <color indexed="81"/>
            <rFont val="Tahoma"/>
            <family val="2"/>
          </rPr>
          <t xml:space="preserve">
PV: </t>
        </r>
        <r>
          <rPr>
            <sz val="8"/>
            <color indexed="81"/>
            <rFont val="Tahoma"/>
            <family val="2"/>
          </rPr>
          <t xml:space="preserve">Product Validation
</t>
        </r>
        <r>
          <rPr>
            <b/>
            <sz val="8"/>
            <color indexed="81"/>
            <rFont val="Tahoma"/>
            <family val="2"/>
          </rPr>
          <t>PV SW</t>
        </r>
        <r>
          <rPr>
            <sz val="8"/>
            <color indexed="81"/>
            <rFont val="Tahoma"/>
            <family val="2"/>
          </rPr>
          <t xml:space="preserve">: PV Software
</t>
        </r>
        <r>
          <rPr>
            <b/>
            <sz val="8"/>
            <color indexed="81"/>
            <rFont val="Tahoma"/>
            <family val="2"/>
          </rPr>
          <t>PV MC</t>
        </r>
        <r>
          <rPr>
            <sz val="8"/>
            <color indexed="81"/>
            <rFont val="Tahoma"/>
            <family val="2"/>
          </rPr>
          <t xml:space="preserve">: PV Mechanical Climatical
</t>
        </r>
        <r>
          <rPr>
            <b/>
            <sz val="8"/>
            <color indexed="81"/>
            <rFont val="Tahoma"/>
            <family val="2"/>
          </rPr>
          <t>PV EE</t>
        </r>
        <r>
          <rPr>
            <sz val="8"/>
            <color indexed="81"/>
            <rFont val="Tahoma"/>
            <family val="2"/>
          </rPr>
          <t>: PV hardware</t>
        </r>
        <r>
          <rPr>
            <b/>
            <sz val="8"/>
            <color indexed="81"/>
            <rFont val="Tahoma"/>
            <family val="2"/>
          </rPr>
          <t xml:space="preserve">
CT: </t>
        </r>
        <r>
          <rPr>
            <sz val="8"/>
            <color indexed="81"/>
            <rFont val="Tahoma"/>
            <family val="2"/>
          </rPr>
          <t>Customer Required Test</t>
        </r>
      </text>
    </comment>
    <comment ref="F52" authorId="1" shapeId="0" xr:uid="{6D202850-12D9-476C-8B82-83A69C3B6359}">
      <text>
        <r>
          <rPr>
            <b/>
            <sz val="8"/>
            <color indexed="81"/>
            <rFont val="Tahoma"/>
            <family val="2"/>
          </rPr>
          <t xml:space="preserve">Tailoring: Mandatory
TestTypes:
FULL: </t>
        </r>
        <r>
          <rPr>
            <sz val="8"/>
            <color indexed="81"/>
            <rFont val="Tahoma"/>
            <family val="2"/>
          </rPr>
          <t>Complete Scope of Test Spec</t>
        </r>
        <r>
          <rPr>
            <b/>
            <sz val="8"/>
            <color indexed="81"/>
            <rFont val="Tahoma"/>
            <family val="2"/>
          </rPr>
          <t xml:space="preserve">
REGR: </t>
        </r>
        <r>
          <rPr>
            <sz val="8"/>
            <color indexed="81"/>
            <rFont val="Tahoma"/>
            <family val="2"/>
          </rPr>
          <t>Regression Test</t>
        </r>
        <r>
          <rPr>
            <b/>
            <sz val="8"/>
            <color indexed="81"/>
            <rFont val="Tahoma"/>
            <family val="2"/>
          </rPr>
          <t xml:space="preserve">
SHOR: </t>
        </r>
        <r>
          <rPr>
            <sz val="8"/>
            <color indexed="81"/>
            <rFont val="Tahoma"/>
            <family val="2"/>
          </rPr>
          <t xml:space="preserve">Short Test
</t>
        </r>
        <r>
          <rPr>
            <b/>
            <sz val="8"/>
            <color indexed="81"/>
            <rFont val="Tahoma"/>
            <family val="2"/>
          </rPr>
          <t>INFORM:</t>
        </r>
        <r>
          <rPr>
            <sz val="8"/>
            <color indexed="81"/>
            <rFont val="Tahoma"/>
            <family val="2"/>
          </rPr>
          <t xml:space="preserve"> Informeller Kurztest</t>
        </r>
      </text>
    </comment>
    <comment ref="H52" authorId="0" shapeId="0" xr:uid="{A96CC9FF-5B78-4306-BD41-B4F2614F4FF3}">
      <text>
        <r>
          <rPr>
            <b/>
            <sz val="8"/>
            <color indexed="81"/>
            <rFont val="Tahoma"/>
            <family val="2"/>
          </rPr>
          <t>Tailoring: Mandatory</t>
        </r>
        <r>
          <rPr>
            <sz val="8"/>
            <color indexed="81"/>
            <rFont val="Tahoma"/>
            <family val="2"/>
          </rPr>
          <t xml:space="preserve">
Hint: Add sample or verson information if necessary
</t>
        </r>
      </text>
    </comment>
    <comment ref="I52" authorId="0" shapeId="0" xr:uid="{F0D70D4D-253A-49FE-958E-7E7CAE117C96}">
      <text>
        <r>
          <rPr>
            <b/>
            <sz val="8"/>
            <color indexed="81"/>
            <rFont val="Tahoma"/>
            <family val="2"/>
          </rPr>
          <t>Tailoring Mandatory</t>
        </r>
        <r>
          <rPr>
            <sz val="8"/>
            <color indexed="81"/>
            <rFont val="Tahoma"/>
            <family val="2"/>
          </rPr>
          <t xml:space="preserve">
</t>
        </r>
      </text>
    </comment>
    <comment ref="J52" authorId="2" shapeId="0" xr:uid="{89305791-CA6A-4C02-B6DE-4C9E0502E1BF}">
      <text>
        <r>
          <rPr>
            <b/>
            <sz val="8"/>
            <color indexed="81"/>
            <rFont val="Tahoma"/>
            <family val="2"/>
          </rPr>
          <t>mandatory
Enter valid date
(text is formatted yellow)</t>
        </r>
      </text>
    </comment>
    <comment ref="K52" authorId="2" shapeId="0" xr:uid="{1E3D572D-61E0-4AB9-8E16-D1700C7E4DB3}">
      <text>
        <r>
          <rPr>
            <b/>
            <sz val="8"/>
            <color indexed="81"/>
            <rFont val="Tahoma"/>
            <family val="2"/>
          </rPr>
          <t xml:space="preserve">
Enter valid date
(text is formatted yellow)</t>
        </r>
      </text>
    </comment>
    <comment ref="L52" authorId="2" shapeId="0" xr:uid="{40BF091E-989F-4112-9277-BD6B701449A3}">
      <text>
        <r>
          <rPr>
            <b/>
            <sz val="8"/>
            <color indexed="81"/>
            <rFont val="Tahoma"/>
            <family val="2"/>
          </rPr>
          <t xml:space="preserve">
Enter valid date
(text is formatted yellow)</t>
        </r>
      </text>
    </comment>
    <comment ref="M52" authorId="2" shapeId="0" xr:uid="{93728EE8-D053-4AAA-8199-B9744EFAEFB6}">
      <text>
        <r>
          <rPr>
            <b/>
            <sz val="8"/>
            <color indexed="81"/>
            <rFont val="Tahoma"/>
            <family val="2"/>
          </rPr>
          <t>mandatory
Enter valid date
(text is formatted yellow)</t>
        </r>
      </text>
    </comment>
    <comment ref="N52" authorId="1" shapeId="0" xr:uid="{FB58E0BB-C4D9-4A79-8C94-30C741861AE5}">
      <text>
        <r>
          <rPr>
            <b/>
            <sz val="8"/>
            <color indexed="81"/>
            <rFont val="Tahoma"/>
            <family val="2"/>
          </rPr>
          <t xml:space="preserve">Tailoring: Mandatory
Status of Test:
PLA: </t>
        </r>
        <r>
          <rPr>
            <sz val="8"/>
            <color indexed="81"/>
            <rFont val="Tahoma"/>
            <family val="2"/>
          </rPr>
          <t xml:space="preserve">planned         =&gt; test is planned (due dates are known)
</t>
        </r>
        <r>
          <rPr>
            <b/>
            <sz val="8"/>
            <color indexed="81"/>
            <rFont val="Tahoma"/>
            <family val="2"/>
          </rPr>
          <t xml:space="preserve">EXE: </t>
        </r>
        <r>
          <rPr>
            <sz val="8"/>
            <color indexed="81"/>
            <rFont val="Tahoma"/>
            <family val="2"/>
          </rPr>
          <t>executed       =&gt; test is performed &amp; the Test Report is written</t>
        </r>
        <r>
          <rPr>
            <b/>
            <sz val="8"/>
            <color indexed="81"/>
            <rFont val="Tahoma"/>
            <family val="2"/>
          </rPr>
          <t xml:space="preserve">
DNE: </t>
        </r>
        <r>
          <rPr>
            <sz val="8"/>
            <color indexed="81"/>
            <rFont val="Tahoma"/>
            <family val="2"/>
          </rPr>
          <t xml:space="preserve">done             =&gt; test has been checked successfully </t>
        </r>
        <r>
          <rPr>
            <b/>
            <sz val="8"/>
            <color indexed="81"/>
            <rFont val="Tahoma"/>
            <family val="2"/>
          </rPr>
          <t xml:space="preserve">
DEF: </t>
        </r>
        <r>
          <rPr>
            <sz val="8"/>
            <color indexed="81"/>
            <rFont val="Tahoma"/>
            <family val="2"/>
          </rPr>
          <t xml:space="preserve">deferred       =&gt; test has delay 
</t>
        </r>
        <r>
          <rPr>
            <b/>
            <sz val="8"/>
            <color indexed="81"/>
            <rFont val="Tahoma"/>
            <family val="2"/>
          </rPr>
          <t>REJ:</t>
        </r>
        <r>
          <rPr>
            <sz val="8"/>
            <color indexed="81"/>
            <rFont val="Tahoma"/>
            <family val="2"/>
          </rPr>
          <t xml:space="preserve"> rejected        =&gt; test is canceled</t>
        </r>
      </text>
    </comment>
    <comment ref="O52" authorId="3" shapeId="0" xr:uid="{11855700-D64C-4A4E-BAC1-5CE9C0B0FE16}">
      <text>
        <r>
          <rPr>
            <b/>
            <sz val="8"/>
            <color indexed="81"/>
            <rFont val="Tahoma"/>
            <family val="2"/>
          </rPr>
          <t>Tailoring: Mandatory
Test Result:</t>
        </r>
        <r>
          <rPr>
            <sz val="8"/>
            <color indexed="81"/>
            <rFont val="Tahoma"/>
            <family val="2"/>
          </rPr>
          <t xml:space="preserve">
</t>
        </r>
        <r>
          <rPr>
            <b/>
            <sz val="8"/>
            <color indexed="81"/>
            <rFont val="Tahoma"/>
            <family val="2"/>
          </rPr>
          <t xml:space="preserve"> passed </t>
        </r>
        <r>
          <rPr>
            <sz val="8"/>
            <color indexed="81"/>
            <rFont val="Tahoma"/>
            <family val="2"/>
          </rPr>
          <t xml:space="preserve">
- Test passed without any errors / deviations from expected results
- Test Object can be delivered without constraints
</t>
        </r>
        <r>
          <rPr>
            <b/>
            <sz val="8"/>
            <color indexed="81"/>
            <rFont val="Tahoma"/>
            <family val="2"/>
          </rPr>
          <t xml:space="preserve">conditionally accepted </t>
        </r>
        <r>
          <rPr>
            <sz val="8"/>
            <color indexed="81"/>
            <rFont val="Tahoma"/>
            <family val="2"/>
          </rPr>
          <t xml:space="preserve">
- Test passed with minor errors / deviations from expected results
- Test Object can be delivered with constraints described in Release Note 
</t>
        </r>
        <r>
          <rPr>
            <b/>
            <sz val="8"/>
            <color indexed="81"/>
            <rFont val="Tahoma"/>
            <family val="2"/>
          </rPr>
          <t xml:space="preserve">failed
=&gt; </t>
        </r>
        <r>
          <rPr>
            <sz val="8"/>
            <color indexed="81"/>
            <rFont val="Tahoma"/>
            <family val="2"/>
          </rPr>
          <t xml:space="preserve">retesting necessary!
- </t>
        </r>
        <r>
          <rPr>
            <sz val="8"/>
            <color indexed="81"/>
            <rFont val="Tahoma"/>
            <family val="2"/>
          </rPr>
          <t xml:space="preserve">Test failed, major errors / deviations from expected results
- Test Object cannot be delivered without fixing errors and retesting corrected code
</t>
        </r>
      </text>
    </comment>
    <comment ref="P52" authorId="0" shapeId="0" xr:uid="{A64A43B2-7D23-4E07-9098-F186C1989F5F}">
      <text>
        <r>
          <rPr>
            <b/>
            <sz val="8"/>
            <color indexed="81"/>
            <rFont val="Tahoma"/>
            <family val="2"/>
          </rPr>
          <t>Tailoring: Mandatory</t>
        </r>
        <r>
          <rPr>
            <sz val="8"/>
            <color indexed="81"/>
            <rFont val="Tahoma"/>
            <family val="2"/>
          </rPr>
          <t xml:space="preserve">
</t>
        </r>
      </text>
    </comment>
    <comment ref="Q52" authorId="3" shapeId="0" xr:uid="{C33EBC69-AEE1-472B-B56C-940E55554669}">
      <text>
        <r>
          <rPr>
            <b/>
            <sz val="8"/>
            <color indexed="81"/>
            <rFont val="Tahoma"/>
            <family val="2"/>
          </rPr>
          <t xml:space="preserve">Tailoring: Recommended 
Mandatory for Software Tests
Number of Test Cases executed in test </t>
        </r>
        <r>
          <rPr>
            <sz val="8"/>
            <color indexed="81"/>
            <rFont val="Tahoma"/>
            <family val="2"/>
          </rPr>
          <t xml:space="preserve">
</t>
        </r>
      </text>
    </comment>
    <comment ref="R52" authorId="0" shapeId="0" xr:uid="{3AC40DBE-1F82-4092-B48D-3C8ACC8DA3B5}">
      <text>
        <r>
          <rPr>
            <b/>
            <sz val="8"/>
            <color indexed="81"/>
            <rFont val="Tahoma"/>
            <family val="2"/>
          </rPr>
          <t xml:space="preserve">Tailoring: Mandatory
</t>
        </r>
        <r>
          <rPr>
            <sz val="8"/>
            <color indexed="81"/>
            <rFont val="Tahoma"/>
            <family val="2"/>
          </rPr>
          <t xml:space="preserve">
</t>
        </r>
      </text>
    </comment>
    <comment ref="S52" authorId="0" shapeId="0" xr:uid="{5E0A5408-B2C1-4C85-934A-E696C238F7AD}">
      <text>
        <r>
          <rPr>
            <b/>
            <sz val="8"/>
            <color indexed="81"/>
            <rFont val="Tahoma"/>
            <family val="2"/>
          </rPr>
          <t>Tailoring Recommended</t>
        </r>
        <r>
          <rPr>
            <sz val="8"/>
            <color indexed="81"/>
            <rFont val="Tahoma"/>
            <family val="2"/>
          </rPr>
          <t xml:space="preserve">
</t>
        </r>
      </text>
    </comment>
    <comment ref="T52" authorId="2" shapeId="0" xr:uid="{F9A650CC-3C26-4D67-9158-A02EC69927B0}">
      <text>
        <r>
          <rPr>
            <sz val="8"/>
            <color indexed="81"/>
            <rFont val="Tahoma"/>
            <family val="2"/>
          </rPr>
          <t xml:space="preserve">Tailoring:
Software mandatory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uidf3082</author>
    <author>Volker Ackermann</author>
    <author>Rainer Resch (uidf3082)</author>
    <author>uidf1974</author>
  </authors>
  <commentList>
    <comment ref="C52" authorId="0" shapeId="0" xr:uid="{27AD90BF-AC6A-4F21-B630-CA6AD3B0148C}">
      <text>
        <r>
          <rPr>
            <b/>
            <sz val="8"/>
            <color indexed="81"/>
            <rFont val="Tahoma"/>
            <family val="2"/>
          </rPr>
          <t>Tailoring Mandatory 
Sample Phase
defined in Folder Legend</t>
        </r>
        <r>
          <rPr>
            <sz val="8"/>
            <color indexed="81"/>
            <rFont val="Tahoma"/>
            <family val="2"/>
          </rPr>
          <t xml:space="preserve">
</t>
        </r>
      </text>
    </comment>
    <comment ref="D52" authorId="0" shapeId="0" xr:uid="{59C6F031-BD88-4AE4-91E7-37BA23A03EDF}">
      <text>
        <r>
          <rPr>
            <b/>
            <sz val="8"/>
            <color indexed="81"/>
            <rFont val="Tahoma"/>
            <family val="2"/>
          </rPr>
          <t xml:space="preserve">Tailoring: Mandatory
EE  Hardware
SW  Software
ME Mechanical Design
PIT Product Integration Test
PV Product Validation
</t>
        </r>
      </text>
    </comment>
    <comment ref="E52" authorId="1" shapeId="0" xr:uid="{6117E886-E482-4701-9292-780360B4DED4}">
      <text>
        <r>
          <rPr>
            <b/>
            <sz val="8"/>
            <color indexed="81"/>
            <rFont val="Tahoma"/>
            <family val="2"/>
          </rPr>
          <t xml:space="preserve">Tailoring: Mandatory
Test Level:
MT: </t>
        </r>
        <r>
          <rPr>
            <sz val="8"/>
            <color indexed="81"/>
            <rFont val="Tahoma"/>
            <family val="2"/>
          </rPr>
          <t>Module Test</t>
        </r>
        <r>
          <rPr>
            <b/>
            <sz val="8"/>
            <color indexed="81"/>
            <rFont val="Tahoma"/>
            <family val="2"/>
          </rPr>
          <t xml:space="preserve">
IT: </t>
        </r>
        <r>
          <rPr>
            <sz val="8"/>
            <color indexed="81"/>
            <rFont val="Tahoma"/>
            <family val="2"/>
          </rPr>
          <t>Integration Test</t>
        </r>
        <r>
          <rPr>
            <b/>
            <sz val="8"/>
            <color indexed="81"/>
            <rFont val="Tahoma"/>
            <family val="2"/>
          </rPr>
          <t xml:space="preserve">
ST: </t>
        </r>
        <r>
          <rPr>
            <sz val="8"/>
            <color indexed="81"/>
            <rFont val="Tahoma"/>
            <family val="2"/>
          </rPr>
          <t>SW System Test</t>
        </r>
        <r>
          <rPr>
            <b/>
            <sz val="8"/>
            <color indexed="81"/>
            <rFont val="Tahoma"/>
            <family val="2"/>
          </rPr>
          <t xml:space="preserve">
PV: </t>
        </r>
        <r>
          <rPr>
            <sz val="8"/>
            <color indexed="81"/>
            <rFont val="Tahoma"/>
            <family val="2"/>
          </rPr>
          <t xml:space="preserve">Product Validation
</t>
        </r>
        <r>
          <rPr>
            <b/>
            <sz val="8"/>
            <color indexed="81"/>
            <rFont val="Tahoma"/>
            <family val="2"/>
          </rPr>
          <t>PV SW</t>
        </r>
        <r>
          <rPr>
            <sz val="8"/>
            <color indexed="81"/>
            <rFont val="Tahoma"/>
            <family val="2"/>
          </rPr>
          <t xml:space="preserve">: PV Software
</t>
        </r>
        <r>
          <rPr>
            <b/>
            <sz val="8"/>
            <color indexed="81"/>
            <rFont val="Tahoma"/>
            <family val="2"/>
          </rPr>
          <t>PV MC</t>
        </r>
        <r>
          <rPr>
            <sz val="8"/>
            <color indexed="81"/>
            <rFont val="Tahoma"/>
            <family val="2"/>
          </rPr>
          <t xml:space="preserve">: PV Mechanical Climatical
</t>
        </r>
        <r>
          <rPr>
            <b/>
            <sz val="8"/>
            <color indexed="81"/>
            <rFont val="Tahoma"/>
            <family val="2"/>
          </rPr>
          <t>PV EE</t>
        </r>
        <r>
          <rPr>
            <sz val="8"/>
            <color indexed="81"/>
            <rFont val="Tahoma"/>
            <family val="2"/>
          </rPr>
          <t>: PV hardware</t>
        </r>
        <r>
          <rPr>
            <b/>
            <sz val="8"/>
            <color indexed="81"/>
            <rFont val="Tahoma"/>
            <family val="2"/>
          </rPr>
          <t xml:space="preserve">
CT: </t>
        </r>
        <r>
          <rPr>
            <sz val="8"/>
            <color indexed="81"/>
            <rFont val="Tahoma"/>
            <family val="2"/>
          </rPr>
          <t>Customer Required Test</t>
        </r>
      </text>
    </comment>
    <comment ref="F52" authorId="1" shapeId="0" xr:uid="{1E7BDA6A-BB0A-4290-9ADC-2C27CBD27197}">
      <text>
        <r>
          <rPr>
            <b/>
            <sz val="8"/>
            <color indexed="81"/>
            <rFont val="Tahoma"/>
            <family val="2"/>
          </rPr>
          <t xml:space="preserve">Tailoring: Mandatory
TestTypes:
FULL: </t>
        </r>
        <r>
          <rPr>
            <sz val="8"/>
            <color indexed="81"/>
            <rFont val="Tahoma"/>
            <family val="2"/>
          </rPr>
          <t>Complete Scope of Test Spec</t>
        </r>
        <r>
          <rPr>
            <b/>
            <sz val="8"/>
            <color indexed="81"/>
            <rFont val="Tahoma"/>
            <family val="2"/>
          </rPr>
          <t xml:space="preserve">
REGR: </t>
        </r>
        <r>
          <rPr>
            <sz val="8"/>
            <color indexed="81"/>
            <rFont val="Tahoma"/>
            <family val="2"/>
          </rPr>
          <t>Regression Test</t>
        </r>
        <r>
          <rPr>
            <b/>
            <sz val="8"/>
            <color indexed="81"/>
            <rFont val="Tahoma"/>
            <family val="2"/>
          </rPr>
          <t xml:space="preserve">
SHOR: </t>
        </r>
        <r>
          <rPr>
            <sz val="8"/>
            <color indexed="81"/>
            <rFont val="Tahoma"/>
            <family val="2"/>
          </rPr>
          <t xml:space="preserve">Short Test
</t>
        </r>
        <r>
          <rPr>
            <b/>
            <sz val="8"/>
            <color indexed="81"/>
            <rFont val="Tahoma"/>
            <family val="2"/>
          </rPr>
          <t>INFORM:</t>
        </r>
        <r>
          <rPr>
            <sz val="8"/>
            <color indexed="81"/>
            <rFont val="Tahoma"/>
            <family val="2"/>
          </rPr>
          <t xml:space="preserve"> Informeller Kurztest</t>
        </r>
      </text>
    </comment>
    <comment ref="H52" authorId="0" shapeId="0" xr:uid="{85055135-B4E6-4DF4-B390-8806D99B845E}">
      <text>
        <r>
          <rPr>
            <b/>
            <sz val="8"/>
            <color indexed="81"/>
            <rFont val="Tahoma"/>
            <family val="2"/>
          </rPr>
          <t>Tailoring: Mandatory</t>
        </r>
        <r>
          <rPr>
            <sz val="8"/>
            <color indexed="81"/>
            <rFont val="Tahoma"/>
            <family val="2"/>
          </rPr>
          <t xml:space="preserve">
Hint: Add sample or verson information if necessary
</t>
        </r>
      </text>
    </comment>
    <comment ref="I52" authorId="0" shapeId="0" xr:uid="{B0DFE3E1-AA61-4F3C-81FB-4E16095412F1}">
      <text>
        <r>
          <rPr>
            <b/>
            <sz val="8"/>
            <color indexed="81"/>
            <rFont val="Tahoma"/>
            <family val="2"/>
          </rPr>
          <t>Tailoring Mandatory</t>
        </r>
        <r>
          <rPr>
            <sz val="8"/>
            <color indexed="81"/>
            <rFont val="Tahoma"/>
            <family val="2"/>
          </rPr>
          <t xml:space="preserve">
</t>
        </r>
      </text>
    </comment>
    <comment ref="J52" authorId="2" shapeId="0" xr:uid="{9B24423D-39CB-46D6-9000-9506DDD4A627}">
      <text>
        <r>
          <rPr>
            <b/>
            <sz val="8"/>
            <color indexed="81"/>
            <rFont val="Tahoma"/>
            <family val="2"/>
          </rPr>
          <t>mandatory
Enter valid date
(text is formatted yellow)</t>
        </r>
      </text>
    </comment>
    <comment ref="K52" authorId="2" shapeId="0" xr:uid="{679B8ED4-9586-4421-9AFF-3FDB3EC0630D}">
      <text>
        <r>
          <rPr>
            <b/>
            <sz val="8"/>
            <color indexed="81"/>
            <rFont val="Tahoma"/>
            <family val="2"/>
          </rPr>
          <t xml:space="preserve">
Enter valid date
(text is formatted yellow)</t>
        </r>
      </text>
    </comment>
    <comment ref="L52" authorId="2" shapeId="0" xr:uid="{EBEEA901-010A-474A-8D48-BC056C002A1D}">
      <text>
        <r>
          <rPr>
            <b/>
            <sz val="8"/>
            <color indexed="81"/>
            <rFont val="Tahoma"/>
            <family val="2"/>
          </rPr>
          <t xml:space="preserve">
Enter valid date
(text is formatted yellow)</t>
        </r>
      </text>
    </comment>
    <comment ref="M52" authorId="2" shapeId="0" xr:uid="{CD9C76CC-02D6-42DC-95AA-18F446FC7752}">
      <text>
        <r>
          <rPr>
            <b/>
            <sz val="8"/>
            <color indexed="81"/>
            <rFont val="Tahoma"/>
            <family val="2"/>
          </rPr>
          <t>mandatory
Enter valid date
(text is formatted yellow)</t>
        </r>
      </text>
    </comment>
    <comment ref="N52" authorId="1" shapeId="0" xr:uid="{E860AA11-8F2C-4803-841A-2C2B42E68CF1}">
      <text>
        <r>
          <rPr>
            <b/>
            <sz val="8"/>
            <color indexed="81"/>
            <rFont val="Tahoma"/>
            <family val="2"/>
          </rPr>
          <t xml:space="preserve">Tailoring: Mandatory
Status of Test:
PLA: </t>
        </r>
        <r>
          <rPr>
            <sz val="8"/>
            <color indexed="81"/>
            <rFont val="Tahoma"/>
            <family val="2"/>
          </rPr>
          <t xml:space="preserve">planned         =&gt; test is planned (due dates are known)
</t>
        </r>
        <r>
          <rPr>
            <b/>
            <sz val="8"/>
            <color indexed="81"/>
            <rFont val="Tahoma"/>
            <family val="2"/>
          </rPr>
          <t xml:space="preserve">EXE: </t>
        </r>
        <r>
          <rPr>
            <sz val="8"/>
            <color indexed="81"/>
            <rFont val="Tahoma"/>
            <family val="2"/>
          </rPr>
          <t>executed       =&gt; test is performed &amp; the Test Report is written</t>
        </r>
        <r>
          <rPr>
            <b/>
            <sz val="8"/>
            <color indexed="81"/>
            <rFont val="Tahoma"/>
            <family val="2"/>
          </rPr>
          <t xml:space="preserve">
DNE: </t>
        </r>
        <r>
          <rPr>
            <sz val="8"/>
            <color indexed="81"/>
            <rFont val="Tahoma"/>
            <family val="2"/>
          </rPr>
          <t xml:space="preserve">done             =&gt; test has been checked successfully </t>
        </r>
        <r>
          <rPr>
            <b/>
            <sz val="8"/>
            <color indexed="81"/>
            <rFont val="Tahoma"/>
            <family val="2"/>
          </rPr>
          <t xml:space="preserve">
DEF: </t>
        </r>
        <r>
          <rPr>
            <sz val="8"/>
            <color indexed="81"/>
            <rFont val="Tahoma"/>
            <family val="2"/>
          </rPr>
          <t xml:space="preserve">deferred       =&gt; test has delay 
</t>
        </r>
        <r>
          <rPr>
            <b/>
            <sz val="8"/>
            <color indexed="81"/>
            <rFont val="Tahoma"/>
            <family val="2"/>
          </rPr>
          <t>REJ:</t>
        </r>
        <r>
          <rPr>
            <sz val="8"/>
            <color indexed="81"/>
            <rFont val="Tahoma"/>
            <family val="2"/>
          </rPr>
          <t xml:space="preserve"> rejected        =&gt; test is canceled</t>
        </r>
      </text>
    </comment>
    <comment ref="O52" authorId="3" shapeId="0" xr:uid="{313816B4-A772-49BC-928E-2C89C399F402}">
      <text>
        <r>
          <rPr>
            <b/>
            <sz val="8"/>
            <color indexed="81"/>
            <rFont val="Tahoma"/>
            <family val="2"/>
          </rPr>
          <t>Tailoring: Mandatory
Test Result:</t>
        </r>
        <r>
          <rPr>
            <sz val="8"/>
            <color indexed="81"/>
            <rFont val="Tahoma"/>
            <family val="2"/>
          </rPr>
          <t xml:space="preserve">
</t>
        </r>
        <r>
          <rPr>
            <b/>
            <sz val="8"/>
            <color indexed="81"/>
            <rFont val="Tahoma"/>
            <family val="2"/>
          </rPr>
          <t xml:space="preserve"> passed </t>
        </r>
        <r>
          <rPr>
            <sz val="8"/>
            <color indexed="81"/>
            <rFont val="Tahoma"/>
            <family val="2"/>
          </rPr>
          <t xml:space="preserve">
- Test passed without any errors / deviations from expected results
- Test Object can be delivered without constraints
</t>
        </r>
        <r>
          <rPr>
            <b/>
            <sz val="8"/>
            <color indexed="81"/>
            <rFont val="Tahoma"/>
            <family val="2"/>
          </rPr>
          <t xml:space="preserve">conditionally accepted </t>
        </r>
        <r>
          <rPr>
            <sz val="8"/>
            <color indexed="81"/>
            <rFont val="Tahoma"/>
            <family val="2"/>
          </rPr>
          <t xml:space="preserve">
- Test passed with minor errors / deviations from expected results
- Test Object can be delivered with constraints described in Release Note 
</t>
        </r>
        <r>
          <rPr>
            <b/>
            <sz val="8"/>
            <color indexed="81"/>
            <rFont val="Tahoma"/>
            <family val="2"/>
          </rPr>
          <t xml:space="preserve">failed
=&gt; </t>
        </r>
        <r>
          <rPr>
            <sz val="8"/>
            <color indexed="81"/>
            <rFont val="Tahoma"/>
            <family val="2"/>
          </rPr>
          <t xml:space="preserve">retesting necessary!
- </t>
        </r>
        <r>
          <rPr>
            <sz val="8"/>
            <color indexed="81"/>
            <rFont val="Tahoma"/>
            <family val="2"/>
          </rPr>
          <t xml:space="preserve">Test failed, major errors / deviations from expected results
- Test Object cannot be delivered without fixing errors and retesting corrected code
</t>
        </r>
      </text>
    </comment>
    <comment ref="P52" authorId="0" shapeId="0" xr:uid="{2ED99906-3EF6-42B4-B862-E3C6483CE974}">
      <text>
        <r>
          <rPr>
            <b/>
            <sz val="8"/>
            <color indexed="81"/>
            <rFont val="Tahoma"/>
            <family val="2"/>
          </rPr>
          <t>Tailoring: Mandatory</t>
        </r>
        <r>
          <rPr>
            <sz val="8"/>
            <color indexed="81"/>
            <rFont val="Tahoma"/>
            <family val="2"/>
          </rPr>
          <t xml:space="preserve">
</t>
        </r>
      </text>
    </comment>
    <comment ref="Q52" authorId="3" shapeId="0" xr:uid="{10E2220D-E276-4B67-963D-34C0BC1A29EC}">
      <text>
        <r>
          <rPr>
            <b/>
            <sz val="8"/>
            <color indexed="81"/>
            <rFont val="Tahoma"/>
            <family val="2"/>
          </rPr>
          <t xml:space="preserve">Tailoring: Recommended 
Mandatory for Software Tests
Number of Test Cases executed in test </t>
        </r>
        <r>
          <rPr>
            <sz val="8"/>
            <color indexed="81"/>
            <rFont val="Tahoma"/>
            <family val="2"/>
          </rPr>
          <t xml:space="preserve">
</t>
        </r>
      </text>
    </comment>
    <comment ref="R52" authorId="0" shapeId="0" xr:uid="{F833A252-FBB1-44F6-8C75-5E5D1468EE0D}">
      <text>
        <r>
          <rPr>
            <b/>
            <sz val="8"/>
            <color indexed="81"/>
            <rFont val="Tahoma"/>
            <family val="2"/>
          </rPr>
          <t xml:space="preserve">Tailoring: Mandatory
</t>
        </r>
        <r>
          <rPr>
            <sz val="8"/>
            <color indexed="81"/>
            <rFont val="Tahoma"/>
            <family val="2"/>
          </rPr>
          <t xml:space="preserve">
</t>
        </r>
      </text>
    </comment>
    <comment ref="S52" authorId="0" shapeId="0" xr:uid="{D6246281-AECA-4917-B616-3EDF3FEF72D2}">
      <text>
        <r>
          <rPr>
            <b/>
            <sz val="8"/>
            <color indexed="81"/>
            <rFont val="Tahoma"/>
            <family val="2"/>
          </rPr>
          <t>Tailoring Recommended</t>
        </r>
        <r>
          <rPr>
            <sz val="8"/>
            <color indexed="81"/>
            <rFont val="Tahoma"/>
            <family val="2"/>
          </rPr>
          <t xml:space="preserve">
</t>
        </r>
      </text>
    </comment>
    <comment ref="T52" authorId="2" shapeId="0" xr:uid="{164873DA-614C-4A2D-8ED3-F63545E65968}">
      <text>
        <r>
          <rPr>
            <sz val="8"/>
            <color indexed="81"/>
            <rFont val="Tahoma"/>
            <family val="2"/>
          </rPr>
          <t xml:space="preserve">Tailoring:
Software mandatory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uidf3082</author>
    <author>Volker Ackermann</author>
    <author>Rainer Resch (uidf3082)</author>
    <author>uidf1974</author>
  </authors>
  <commentList>
    <comment ref="C52" authorId="0" shapeId="0" xr:uid="{55ECA3C9-0389-40C7-B9B3-2CA6C48307F9}">
      <text>
        <r>
          <rPr>
            <b/>
            <sz val="8"/>
            <color indexed="81"/>
            <rFont val="Tahoma"/>
            <family val="2"/>
          </rPr>
          <t>Tailoring Mandatory 
Sample Phase
defined in Folder Legend</t>
        </r>
        <r>
          <rPr>
            <sz val="8"/>
            <color indexed="81"/>
            <rFont val="Tahoma"/>
            <family val="2"/>
          </rPr>
          <t xml:space="preserve">
</t>
        </r>
      </text>
    </comment>
    <comment ref="D52" authorId="0" shapeId="0" xr:uid="{6A494E22-6AD8-416C-B331-5A90018A75DD}">
      <text>
        <r>
          <rPr>
            <b/>
            <sz val="8"/>
            <color indexed="81"/>
            <rFont val="Tahoma"/>
            <family val="2"/>
          </rPr>
          <t xml:space="preserve">Tailoring: Mandatory
EE  Hardware
SW  Software
ME Mechanical Design
PIT Product Integration Test
PV Product Validation
</t>
        </r>
      </text>
    </comment>
    <comment ref="E52" authorId="1" shapeId="0" xr:uid="{6E330E8B-CD48-4415-ABC2-E93CACCB3CD7}">
      <text>
        <r>
          <rPr>
            <b/>
            <sz val="8"/>
            <color indexed="81"/>
            <rFont val="Tahoma"/>
            <family val="2"/>
          </rPr>
          <t xml:space="preserve">Tailoring: Mandatory
Test Level:
MT: </t>
        </r>
        <r>
          <rPr>
            <sz val="8"/>
            <color indexed="81"/>
            <rFont val="Tahoma"/>
            <family val="2"/>
          </rPr>
          <t>Module Test</t>
        </r>
        <r>
          <rPr>
            <b/>
            <sz val="8"/>
            <color indexed="81"/>
            <rFont val="Tahoma"/>
            <family val="2"/>
          </rPr>
          <t xml:space="preserve">
IT: </t>
        </r>
        <r>
          <rPr>
            <sz val="8"/>
            <color indexed="81"/>
            <rFont val="Tahoma"/>
            <family val="2"/>
          </rPr>
          <t>Integration Test</t>
        </r>
        <r>
          <rPr>
            <b/>
            <sz val="8"/>
            <color indexed="81"/>
            <rFont val="Tahoma"/>
            <family val="2"/>
          </rPr>
          <t xml:space="preserve">
ST: </t>
        </r>
        <r>
          <rPr>
            <sz val="8"/>
            <color indexed="81"/>
            <rFont val="Tahoma"/>
            <family val="2"/>
          </rPr>
          <t>SW System Test</t>
        </r>
        <r>
          <rPr>
            <b/>
            <sz val="8"/>
            <color indexed="81"/>
            <rFont val="Tahoma"/>
            <family val="2"/>
          </rPr>
          <t xml:space="preserve">
PV: </t>
        </r>
        <r>
          <rPr>
            <sz val="8"/>
            <color indexed="81"/>
            <rFont val="Tahoma"/>
            <family val="2"/>
          </rPr>
          <t xml:space="preserve">Product Validation
</t>
        </r>
        <r>
          <rPr>
            <b/>
            <sz val="8"/>
            <color indexed="81"/>
            <rFont val="Tahoma"/>
            <family val="2"/>
          </rPr>
          <t>PV SW</t>
        </r>
        <r>
          <rPr>
            <sz val="8"/>
            <color indexed="81"/>
            <rFont val="Tahoma"/>
            <family val="2"/>
          </rPr>
          <t xml:space="preserve">: PV Software
</t>
        </r>
        <r>
          <rPr>
            <b/>
            <sz val="8"/>
            <color indexed="81"/>
            <rFont val="Tahoma"/>
            <family val="2"/>
          </rPr>
          <t>PV MC</t>
        </r>
        <r>
          <rPr>
            <sz val="8"/>
            <color indexed="81"/>
            <rFont val="Tahoma"/>
            <family val="2"/>
          </rPr>
          <t xml:space="preserve">: PV Mechanical Climatical
</t>
        </r>
        <r>
          <rPr>
            <b/>
            <sz val="8"/>
            <color indexed="81"/>
            <rFont val="Tahoma"/>
            <family val="2"/>
          </rPr>
          <t>PV EE</t>
        </r>
        <r>
          <rPr>
            <sz val="8"/>
            <color indexed="81"/>
            <rFont val="Tahoma"/>
            <family val="2"/>
          </rPr>
          <t>: PV hardware</t>
        </r>
        <r>
          <rPr>
            <b/>
            <sz val="8"/>
            <color indexed="81"/>
            <rFont val="Tahoma"/>
            <family val="2"/>
          </rPr>
          <t xml:space="preserve">
CT: </t>
        </r>
        <r>
          <rPr>
            <sz val="8"/>
            <color indexed="81"/>
            <rFont val="Tahoma"/>
            <family val="2"/>
          </rPr>
          <t>Customer Required Test</t>
        </r>
      </text>
    </comment>
    <comment ref="F52" authorId="1" shapeId="0" xr:uid="{9855FB99-F0FC-44D9-AB66-7CDD04639D53}">
      <text>
        <r>
          <rPr>
            <b/>
            <sz val="8"/>
            <color indexed="81"/>
            <rFont val="Tahoma"/>
            <family val="2"/>
          </rPr>
          <t xml:space="preserve">Tailoring: Mandatory
TestTypes:
FULL: </t>
        </r>
        <r>
          <rPr>
            <sz val="8"/>
            <color indexed="81"/>
            <rFont val="Tahoma"/>
            <family val="2"/>
          </rPr>
          <t>Complete Scope of Test Spec</t>
        </r>
        <r>
          <rPr>
            <b/>
            <sz val="8"/>
            <color indexed="81"/>
            <rFont val="Tahoma"/>
            <family val="2"/>
          </rPr>
          <t xml:space="preserve">
REGR: </t>
        </r>
        <r>
          <rPr>
            <sz val="8"/>
            <color indexed="81"/>
            <rFont val="Tahoma"/>
            <family val="2"/>
          </rPr>
          <t>Regression Test</t>
        </r>
        <r>
          <rPr>
            <b/>
            <sz val="8"/>
            <color indexed="81"/>
            <rFont val="Tahoma"/>
            <family val="2"/>
          </rPr>
          <t xml:space="preserve">
SHOR: </t>
        </r>
        <r>
          <rPr>
            <sz val="8"/>
            <color indexed="81"/>
            <rFont val="Tahoma"/>
            <family val="2"/>
          </rPr>
          <t xml:space="preserve">Short Test
</t>
        </r>
        <r>
          <rPr>
            <b/>
            <sz val="8"/>
            <color indexed="81"/>
            <rFont val="Tahoma"/>
            <family val="2"/>
          </rPr>
          <t>INFORM:</t>
        </r>
        <r>
          <rPr>
            <sz val="8"/>
            <color indexed="81"/>
            <rFont val="Tahoma"/>
            <family val="2"/>
          </rPr>
          <t xml:space="preserve"> Informeller Kurztest</t>
        </r>
      </text>
    </comment>
    <comment ref="H52" authorId="0" shapeId="0" xr:uid="{22DC4AE8-A75D-4E80-8211-C95F23FD0EE9}">
      <text>
        <r>
          <rPr>
            <b/>
            <sz val="8"/>
            <color indexed="81"/>
            <rFont val="Tahoma"/>
            <family val="2"/>
          </rPr>
          <t>Tailoring: Mandatory</t>
        </r>
        <r>
          <rPr>
            <sz val="8"/>
            <color indexed="81"/>
            <rFont val="Tahoma"/>
            <family val="2"/>
          </rPr>
          <t xml:space="preserve">
Hint: Add sample or verson information if necessary
</t>
        </r>
      </text>
    </comment>
    <comment ref="I52" authorId="0" shapeId="0" xr:uid="{3E47126C-B2DD-4D4C-B95F-0718DA5D760D}">
      <text>
        <r>
          <rPr>
            <b/>
            <sz val="8"/>
            <color indexed="81"/>
            <rFont val="Tahoma"/>
            <family val="2"/>
          </rPr>
          <t>Tailoring Mandatory</t>
        </r>
        <r>
          <rPr>
            <sz val="8"/>
            <color indexed="81"/>
            <rFont val="Tahoma"/>
            <family val="2"/>
          </rPr>
          <t xml:space="preserve">
</t>
        </r>
      </text>
    </comment>
    <comment ref="J52" authorId="2" shapeId="0" xr:uid="{CFACB228-7DF1-4F24-96E3-46D3BB587880}">
      <text>
        <r>
          <rPr>
            <b/>
            <sz val="8"/>
            <color indexed="81"/>
            <rFont val="Tahoma"/>
            <family val="2"/>
          </rPr>
          <t>mandatory
Enter valid date
(text is formatted yellow)</t>
        </r>
      </text>
    </comment>
    <comment ref="K52" authorId="2" shapeId="0" xr:uid="{A0D803D4-82BB-409B-AC76-83C1CE2D0AB7}">
      <text>
        <r>
          <rPr>
            <b/>
            <sz val="8"/>
            <color indexed="81"/>
            <rFont val="Tahoma"/>
            <family val="2"/>
          </rPr>
          <t xml:space="preserve">
Enter valid date
(text is formatted yellow)</t>
        </r>
      </text>
    </comment>
    <comment ref="L52" authorId="2" shapeId="0" xr:uid="{11C64DAE-EC1C-4281-AE4F-CC0462F7F620}">
      <text>
        <r>
          <rPr>
            <b/>
            <sz val="8"/>
            <color indexed="81"/>
            <rFont val="Tahoma"/>
            <family val="2"/>
          </rPr>
          <t xml:space="preserve">
Enter valid date
(text is formatted yellow)</t>
        </r>
      </text>
    </comment>
    <comment ref="M52" authorId="2" shapeId="0" xr:uid="{457817CB-FEFB-4D78-AD78-E397C98A4DA8}">
      <text>
        <r>
          <rPr>
            <b/>
            <sz val="8"/>
            <color indexed="81"/>
            <rFont val="Tahoma"/>
            <family val="2"/>
          </rPr>
          <t>mandatory
Enter valid date
(text is formatted yellow)</t>
        </r>
      </text>
    </comment>
    <comment ref="N52" authorId="1" shapeId="0" xr:uid="{13398D5B-BFD1-4350-B163-96C41238D62E}">
      <text>
        <r>
          <rPr>
            <b/>
            <sz val="8"/>
            <color indexed="81"/>
            <rFont val="Tahoma"/>
            <family val="2"/>
          </rPr>
          <t xml:space="preserve">Tailoring: Mandatory
Status of Test:
PLA: </t>
        </r>
        <r>
          <rPr>
            <sz val="8"/>
            <color indexed="81"/>
            <rFont val="Tahoma"/>
            <family val="2"/>
          </rPr>
          <t xml:space="preserve">planned         =&gt; test is planned (due dates are known)
</t>
        </r>
        <r>
          <rPr>
            <b/>
            <sz val="8"/>
            <color indexed="81"/>
            <rFont val="Tahoma"/>
            <family val="2"/>
          </rPr>
          <t xml:space="preserve">EXE: </t>
        </r>
        <r>
          <rPr>
            <sz val="8"/>
            <color indexed="81"/>
            <rFont val="Tahoma"/>
            <family val="2"/>
          </rPr>
          <t>executed       =&gt; test is performed &amp; the Test Report is written</t>
        </r>
        <r>
          <rPr>
            <b/>
            <sz val="8"/>
            <color indexed="81"/>
            <rFont val="Tahoma"/>
            <family val="2"/>
          </rPr>
          <t xml:space="preserve">
DNE: </t>
        </r>
        <r>
          <rPr>
            <sz val="8"/>
            <color indexed="81"/>
            <rFont val="Tahoma"/>
            <family val="2"/>
          </rPr>
          <t xml:space="preserve">done             =&gt; test has been checked successfully </t>
        </r>
        <r>
          <rPr>
            <b/>
            <sz val="8"/>
            <color indexed="81"/>
            <rFont val="Tahoma"/>
            <family val="2"/>
          </rPr>
          <t xml:space="preserve">
DEF: </t>
        </r>
        <r>
          <rPr>
            <sz val="8"/>
            <color indexed="81"/>
            <rFont val="Tahoma"/>
            <family val="2"/>
          </rPr>
          <t xml:space="preserve">deferred       =&gt; test has delay 
</t>
        </r>
        <r>
          <rPr>
            <b/>
            <sz val="8"/>
            <color indexed="81"/>
            <rFont val="Tahoma"/>
            <family val="2"/>
          </rPr>
          <t>REJ:</t>
        </r>
        <r>
          <rPr>
            <sz val="8"/>
            <color indexed="81"/>
            <rFont val="Tahoma"/>
            <family val="2"/>
          </rPr>
          <t xml:space="preserve"> rejected        =&gt; test is canceled</t>
        </r>
      </text>
    </comment>
    <comment ref="O52" authorId="3" shapeId="0" xr:uid="{874F9380-7682-45BB-B5EA-E4B726F456A4}">
      <text>
        <r>
          <rPr>
            <b/>
            <sz val="8"/>
            <color indexed="81"/>
            <rFont val="Tahoma"/>
            <family val="2"/>
          </rPr>
          <t>Tailoring: Mandatory
Test Result:</t>
        </r>
        <r>
          <rPr>
            <sz val="8"/>
            <color indexed="81"/>
            <rFont val="Tahoma"/>
            <family val="2"/>
          </rPr>
          <t xml:space="preserve">
</t>
        </r>
        <r>
          <rPr>
            <b/>
            <sz val="8"/>
            <color indexed="81"/>
            <rFont val="Tahoma"/>
            <family val="2"/>
          </rPr>
          <t xml:space="preserve"> passed </t>
        </r>
        <r>
          <rPr>
            <sz val="8"/>
            <color indexed="81"/>
            <rFont val="Tahoma"/>
            <family val="2"/>
          </rPr>
          <t xml:space="preserve">
- Test passed without any errors / deviations from expected results
- Test Object can be delivered without constraints
</t>
        </r>
        <r>
          <rPr>
            <b/>
            <sz val="8"/>
            <color indexed="81"/>
            <rFont val="Tahoma"/>
            <family val="2"/>
          </rPr>
          <t xml:space="preserve">conditionally accepted </t>
        </r>
        <r>
          <rPr>
            <sz val="8"/>
            <color indexed="81"/>
            <rFont val="Tahoma"/>
            <family val="2"/>
          </rPr>
          <t xml:space="preserve">
- Test passed with minor errors / deviations from expected results
- Test Object can be delivered with constraints described in Release Note 
</t>
        </r>
        <r>
          <rPr>
            <b/>
            <sz val="8"/>
            <color indexed="81"/>
            <rFont val="Tahoma"/>
            <family val="2"/>
          </rPr>
          <t xml:space="preserve">failed
=&gt; </t>
        </r>
        <r>
          <rPr>
            <sz val="8"/>
            <color indexed="81"/>
            <rFont val="Tahoma"/>
            <family val="2"/>
          </rPr>
          <t xml:space="preserve">retesting necessary!
- </t>
        </r>
        <r>
          <rPr>
            <sz val="8"/>
            <color indexed="81"/>
            <rFont val="Tahoma"/>
            <family val="2"/>
          </rPr>
          <t xml:space="preserve">Test failed, major errors / deviations from expected results
- Test Object cannot be delivered without fixing errors and retesting corrected code
</t>
        </r>
      </text>
    </comment>
    <comment ref="P52" authorId="0" shapeId="0" xr:uid="{4379B565-B4AD-41BD-B68C-4C1EFFB0FD56}">
      <text>
        <r>
          <rPr>
            <b/>
            <sz val="8"/>
            <color indexed="81"/>
            <rFont val="Tahoma"/>
            <family val="2"/>
          </rPr>
          <t>Tailoring: Mandatory</t>
        </r>
        <r>
          <rPr>
            <sz val="8"/>
            <color indexed="81"/>
            <rFont val="Tahoma"/>
            <family val="2"/>
          </rPr>
          <t xml:space="preserve">
</t>
        </r>
      </text>
    </comment>
    <comment ref="Q52" authorId="3" shapeId="0" xr:uid="{326381EA-4C5E-4186-B9D7-13684C3BE654}">
      <text>
        <r>
          <rPr>
            <b/>
            <sz val="8"/>
            <color indexed="81"/>
            <rFont val="Tahoma"/>
            <family val="2"/>
          </rPr>
          <t xml:space="preserve">Tailoring: Recommended 
Mandatory for Software Tests
Number of Test Cases executed in test </t>
        </r>
        <r>
          <rPr>
            <sz val="8"/>
            <color indexed="81"/>
            <rFont val="Tahoma"/>
            <family val="2"/>
          </rPr>
          <t xml:space="preserve">
</t>
        </r>
      </text>
    </comment>
    <comment ref="R52" authorId="0" shapeId="0" xr:uid="{9342E71F-0BC6-4A78-A49F-A573D8C17451}">
      <text>
        <r>
          <rPr>
            <b/>
            <sz val="8"/>
            <color indexed="81"/>
            <rFont val="Tahoma"/>
            <family val="2"/>
          </rPr>
          <t xml:space="preserve">Tailoring: Mandatory
</t>
        </r>
        <r>
          <rPr>
            <sz val="8"/>
            <color indexed="81"/>
            <rFont val="Tahoma"/>
            <family val="2"/>
          </rPr>
          <t xml:space="preserve">
</t>
        </r>
      </text>
    </comment>
    <comment ref="S52" authorId="0" shapeId="0" xr:uid="{A08FA2BA-DA56-435C-8143-BFF11EE837BB}">
      <text>
        <r>
          <rPr>
            <b/>
            <sz val="8"/>
            <color indexed="81"/>
            <rFont val="Tahoma"/>
            <family val="2"/>
          </rPr>
          <t>Tailoring Recommended</t>
        </r>
        <r>
          <rPr>
            <sz val="8"/>
            <color indexed="81"/>
            <rFont val="Tahoma"/>
            <family val="2"/>
          </rPr>
          <t xml:space="preserve">
</t>
        </r>
      </text>
    </comment>
    <comment ref="T52" authorId="2" shapeId="0" xr:uid="{58857008-F844-4C5F-98C7-3DF208718B23}">
      <text>
        <r>
          <rPr>
            <sz val="8"/>
            <color indexed="81"/>
            <rFont val="Tahoma"/>
            <family val="2"/>
          </rPr>
          <t xml:space="preserve">Tailoring:
Software mandatory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uidf3082</author>
    <author>Volker Ackermann</author>
    <author>Rainer Resch (uidf3082)</author>
    <author>uidf1974</author>
  </authors>
  <commentList>
    <comment ref="C51" authorId="0" shapeId="0" xr:uid="{92846587-4627-4943-ADF4-050AFD26B40F}">
      <text>
        <r>
          <rPr>
            <b/>
            <sz val="8"/>
            <color indexed="81"/>
            <rFont val="Tahoma"/>
            <family val="2"/>
          </rPr>
          <t>Tailoring Mandatory 
Sample Phase
defined in Folder Legend</t>
        </r>
        <r>
          <rPr>
            <sz val="8"/>
            <color indexed="81"/>
            <rFont val="Tahoma"/>
            <family val="2"/>
          </rPr>
          <t xml:space="preserve">
</t>
        </r>
      </text>
    </comment>
    <comment ref="D51" authorId="0" shapeId="0" xr:uid="{4D6CD249-0EC9-4649-8AC4-5D48B43A338A}">
      <text>
        <r>
          <rPr>
            <b/>
            <sz val="8"/>
            <color indexed="81"/>
            <rFont val="Tahoma"/>
            <family val="2"/>
          </rPr>
          <t xml:space="preserve">Tailoring: Mandatory
EE  Hardware
SW  Software
ME Mechanical Design
PIT Product Integration Test
PV Product Validation
</t>
        </r>
      </text>
    </comment>
    <comment ref="E51" authorId="1" shapeId="0" xr:uid="{FADB4ECC-9C1B-4117-BE6E-2306720091C4}">
      <text>
        <r>
          <rPr>
            <b/>
            <sz val="8"/>
            <color indexed="81"/>
            <rFont val="Tahoma"/>
            <family val="2"/>
          </rPr>
          <t xml:space="preserve">Tailoring: Mandatory
Test Level:
MT: </t>
        </r>
        <r>
          <rPr>
            <sz val="8"/>
            <color indexed="81"/>
            <rFont val="Tahoma"/>
            <family val="2"/>
          </rPr>
          <t>Module Test</t>
        </r>
        <r>
          <rPr>
            <b/>
            <sz val="8"/>
            <color indexed="81"/>
            <rFont val="Tahoma"/>
            <family val="2"/>
          </rPr>
          <t xml:space="preserve">
IT: </t>
        </r>
        <r>
          <rPr>
            <sz val="8"/>
            <color indexed="81"/>
            <rFont val="Tahoma"/>
            <family val="2"/>
          </rPr>
          <t>Integration Test</t>
        </r>
        <r>
          <rPr>
            <b/>
            <sz val="8"/>
            <color indexed="81"/>
            <rFont val="Tahoma"/>
            <family val="2"/>
          </rPr>
          <t xml:space="preserve">
ST: </t>
        </r>
        <r>
          <rPr>
            <sz val="8"/>
            <color indexed="81"/>
            <rFont val="Tahoma"/>
            <family val="2"/>
          </rPr>
          <t>SW System Test</t>
        </r>
        <r>
          <rPr>
            <b/>
            <sz val="8"/>
            <color indexed="81"/>
            <rFont val="Tahoma"/>
            <family val="2"/>
          </rPr>
          <t xml:space="preserve">
PV: </t>
        </r>
        <r>
          <rPr>
            <sz val="8"/>
            <color indexed="81"/>
            <rFont val="Tahoma"/>
            <family val="2"/>
          </rPr>
          <t xml:space="preserve">Product Validation
</t>
        </r>
        <r>
          <rPr>
            <b/>
            <sz val="8"/>
            <color indexed="81"/>
            <rFont val="Tahoma"/>
            <family val="2"/>
          </rPr>
          <t>PV SW</t>
        </r>
        <r>
          <rPr>
            <sz val="8"/>
            <color indexed="81"/>
            <rFont val="Tahoma"/>
            <family val="2"/>
          </rPr>
          <t xml:space="preserve">: PV Software
</t>
        </r>
        <r>
          <rPr>
            <b/>
            <sz val="8"/>
            <color indexed="81"/>
            <rFont val="Tahoma"/>
            <family val="2"/>
          </rPr>
          <t>PV MC</t>
        </r>
        <r>
          <rPr>
            <sz val="8"/>
            <color indexed="81"/>
            <rFont val="Tahoma"/>
            <family val="2"/>
          </rPr>
          <t xml:space="preserve">: PV Mechanical Climatical
</t>
        </r>
        <r>
          <rPr>
            <b/>
            <sz val="8"/>
            <color indexed="81"/>
            <rFont val="Tahoma"/>
            <family val="2"/>
          </rPr>
          <t>PV EE</t>
        </r>
        <r>
          <rPr>
            <sz val="8"/>
            <color indexed="81"/>
            <rFont val="Tahoma"/>
            <family val="2"/>
          </rPr>
          <t>: PV hardware</t>
        </r>
        <r>
          <rPr>
            <b/>
            <sz val="8"/>
            <color indexed="81"/>
            <rFont val="Tahoma"/>
            <family val="2"/>
          </rPr>
          <t xml:space="preserve">
CT: </t>
        </r>
        <r>
          <rPr>
            <sz val="8"/>
            <color indexed="81"/>
            <rFont val="Tahoma"/>
            <family val="2"/>
          </rPr>
          <t>Customer Required Test</t>
        </r>
      </text>
    </comment>
    <comment ref="F51" authorId="1" shapeId="0" xr:uid="{2E1279B7-6336-4824-A816-7DDC64627D1B}">
      <text>
        <r>
          <rPr>
            <b/>
            <sz val="8"/>
            <color indexed="81"/>
            <rFont val="Tahoma"/>
            <family val="2"/>
          </rPr>
          <t xml:space="preserve">Tailoring: Mandatory
TestTypes:
FULL: </t>
        </r>
        <r>
          <rPr>
            <sz val="8"/>
            <color indexed="81"/>
            <rFont val="Tahoma"/>
            <family val="2"/>
          </rPr>
          <t>Complete Scope of Test Spec</t>
        </r>
        <r>
          <rPr>
            <b/>
            <sz val="8"/>
            <color indexed="81"/>
            <rFont val="Tahoma"/>
            <family val="2"/>
          </rPr>
          <t xml:space="preserve">
REGR: </t>
        </r>
        <r>
          <rPr>
            <sz val="8"/>
            <color indexed="81"/>
            <rFont val="Tahoma"/>
            <family val="2"/>
          </rPr>
          <t>Regression Test</t>
        </r>
        <r>
          <rPr>
            <b/>
            <sz val="8"/>
            <color indexed="81"/>
            <rFont val="Tahoma"/>
            <family val="2"/>
          </rPr>
          <t xml:space="preserve">
SHOR: </t>
        </r>
        <r>
          <rPr>
            <sz val="8"/>
            <color indexed="81"/>
            <rFont val="Tahoma"/>
            <family val="2"/>
          </rPr>
          <t xml:space="preserve">Short Test
</t>
        </r>
        <r>
          <rPr>
            <b/>
            <sz val="8"/>
            <color indexed="81"/>
            <rFont val="Tahoma"/>
            <family val="2"/>
          </rPr>
          <t>INFORM:</t>
        </r>
        <r>
          <rPr>
            <sz val="8"/>
            <color indexed="81"/>
            <rFont val="Tahoma"/>
            <family val="2"/>
          </rPr>
          <t xml:space="preserve"> Informeller Kurztest</t>
        </r>
      </text>
    </comment>
    <comment ref="H51" authorId="0" shapeId="0" xr:uid="{F3A228BF-4C0D-4552-8E5C-18D944567E8E}">
      <text>
        <r>
          <rPr>
            <b/>
            <sz val="8"/>
            <color indexed="81"/>
            <rFont val="Tahoma"/>
            <family val="2"/>
          </rPr>
          <t>Tailoring: Mandatory</t>
        </r>
        <r>
          <rPr>
            <sz val="8"/>
            <color indexed="81"/>
            <rFont val="Tahoma"/>
            <family val="2"/>
          </rPr>
          <t xml:space="preserve">
Hint: Add sample or verson information if necessary
</t>
        </r>
      </text>
    </comment>
    <comment ref="I51" authorId="0" shapeId="0" xr:uid="{A75E1E0B-D205-4525-B60C-DCBC7FFEBF10}">
      <text>
        <r>
          <rPr>
            <b/>
            <sz val="8"/>
            <color indexed="81"/>
            <rFont val="Tahoma"/>
            <family val="2"/>
          </rPr>
          <t>Tailoring Mandatory</t>
        </r>
        <r>
          <rPr>
            <sz val="8"/>
            <color indexed="81"/>
            <rFont val="Tahoma"/>
            <family val="2"/>
          </rPr>
          <t xml:space="preserve">
</t>
        </r>
      </text>
    </comment>
    <comment ref="J51" authorId="2" shapeId="0" xr:uid="{658D3469-CFBC-4F63-B17A-D45085CA878E}">
      <text>
        <r>
          <rPr>
            <b/>
            <sz val="8"/>
            <color indexed="81"/>
            <rFont val="Tahoma"/>
            <family val="2"/>
          </rPr>
          <t>mandatory
Enter valid date
(text is formatted yellow)</t>
        </r>
      </text>
    </comment>
    <comment ref="K51" authorId="2" shapeId="0" xr:uid="{AF77A71C-2A46-495A-B433-8BF2674CA506}">
      <text>
        <r>
          <rPr>
            <b/>
            <sz val="8"/>
            <color indexed="81"/>
            <rFont val="Tahoma"/>
            <family val="2"/>
          </rPr>
          <t xml:space="preserve">
Enter valid date
(text is formatted yellow)</t>
        </r>
      </text>
    </comment>
    <comment ref="L51" authorId="2" shapeId="0" xr:uid="{B130BA68-10BF-4582-816D-D9793CF9CB5B}">
      <text>
        <r>
          <rPr>
            <b/>
            <sz val="8"/>
            <color indexed="81"/>
            <rFont val="Tahoma"/>
            <family val="2"/>
          </rPr>
          <t xml:space="preserve">
Enter valid date
(text is formatted yellow)</t>
        </r>
      </text>
    </comment>
    <comment ref="M51" authorId="2" shapeId="0" xr:uid="{AEBDC8B7-6B79-4D5D-8A45-716B04AB265B}">
      <text>
        <r>
          <rPr>
            <b/>
            <sz val="8"/>
            <color indexed="81"/>
            <rFont val="Tahoma"/>
            <family val="2"/>
          </rPr>
          <t>mandatory
Enter valid date
(text is formatted yellow)</t>
        </r>
      </text>
    </comment>
    <comment ref="N51" authorId="1" shapeId="0" xr:uid="{3DB83636-E630-4F9A-9528-51C4A062B034}">
      <text>
        <r>
          <rPr>
            <b/>
            <sz val="8"/>
            <color indexed="81"/>
            <rFont val="Tahoma"/>
            <family val="2"/>
          </rPr>
          <t xml:space="preserve">Tailoring: Mandatory
Status of Test:
PLA: </t>
        </r>
        <r>
          <rPr>
            <sz val="8"/>
            <color indexed="81"/>
            <rFont val="Tahoma"/>
            <family val="2"/>
          </rPr>
          <t xml:space="preserve">planned         =&gt; test is planned (due dates are known)
</t>
        </r>
        <r>
          <rPr>
            <b/>
            <sz val="8"/>
            <color indexed="81"/>
            <rFont val="Tahoma"/>
            <family val="2"/>
          </rPr>
          <t xml:space="preserve">EXE: </t>
        </r>
        <r>
          <rPr>
            <sz val="8"/>
            <color indexed="81"/>
            <rFont val="Tahoma"/>
            <family val="2"/>
          </rPr>
          <t>executed       =&gt; test is performed &amp; the Test Report is written</t>
        </r>
        <r>
          <rPr>
            <b/>
            <sz val="8"/>
            <color indexed="81"/>
            <rFont val="Tahoma"/>
            <family val="2"/>
          </rPr>
          <t xml:space="preserve">
DNE: </t>
        </r>
        <r>
          <rPr>
            <sz val="8"/>
            <color indexed="81"/>
            <rFont val="Tahoma"/>
            <family val="2"/>
          </rPr>
          <t xml:space="preserve">done             =&gt; test has been checked successfully </t>
        </r>
        <r>
          <rPr>
            <b/>
            <sz val="8"/>
            <color indexed="81"/>
            <rFont val="Tahoma"/>
            <family val="2"/>
          </rPr>
          <t xml:space="preserve">
DEF: </t>
        </r>
        <r>
          <rPr>
            <sz val="8"/>
            <color indexed="81"/>
            <rFont val="Tahoma"/>
            <family val="2"/>
          </rPr>
          <t xml:space="preserve">deferred       =&gt; test has delay 
</t>
        </r>
        <r>
          <rPr>
            <b/>
            <sz val="8"/>
            <color indexed="81"/>
            <rFont val="Tahoma"/>
            <family val="2"/>
          </rPr>
          <t>REJ:</t>
        </r>
        <r>
          <rPr>
            <sz val="8"/>
            <color indexed="81"/>
            <rFont val="Tahoma"/>
            <family val="2"/>
          </rPr>
          <t xml:space="preserve"> rejected        =&gt; test is canceled</t>
        </r>
      </text>
    </comment>
    <comment ref="O51" authorId="3" shapeId="0" xr:uid="{D0523C44-B3F8-46A5-B655-06765682AE1B}">
      <text>
        <r>
          <rPr>
            <b/>
            <sz val="8"/>
            <color indexed="81"/>
            <rFont val="Tahoma"/>
            <family val="2"/>
          </rPr>
          <t>Tailoring: Mandatory
Test Result:</t>
        </r>
        <r>
          <rPr>
            <sz val="8"/>
            <color indexed="81"/>
            <rFont val="Tahoma"/>
            <family val="2"/>
          </rPr>
          <t xml:space="preserve">
</t>
        </r>
        <r>
          <rPr>
            <b/>
            <sz val="8"/>
            <color indexed="81"/>
            <rFont val="Tahoma"/>
            <family val="2"/>
          </rPr>
          <t xml:space="preserve"> passed </t>
        </r>
        <r>
          <rPr>
            <sz val="8"/>
            <color indexed="81"/>
            <rFont val="Tahoma"/>
            <family val="2"/>
          </rPr>
          <t xml:space="preserve">
- Test passed without any errors / deviations from expected results
- Test Object can be delivered without constraints
</t>
        </r>
        <r>
          <rPr>
            <b/>
            <sz val="8"/>
            <color indexed="81"/>
            <rFont val="Tahoma"/>
            <family val="2"/>
          </rPr>
          <t xml:space="preserve">conditionally accepted </t>
        </r>
        <r>
          <rPr>
            <sz val="8"/>
            <color indexed="81"/>
            <rFont val="Tahoma"/>
            <family val="2"/>
          </rPr>
          <t xml:space="preserve">
- Test passed with minor errors / deviations from expected results
- Test Object can be delivered with constraints described in Release Note 
</t>
        </r>
        <r>
          <rPr>
            <b/>
            <sz val="8"/>
            <color indexed="81"/>
            <rFont val="Tahoma"/>
            <family val="2"/>
          </rPr>
          <t xml:space="preserve">failed
=&gt; </t>
        </r>
        <r>
          <rPr>
            <sz val="8"/>
            <color indexed="81"/>
            <rFont val="Tahoma"/>
            <family val="2"/>
          </rPr>
          <t xml:space="preserve">retesting necessary!
- </t>
        </r>
        <r>
          <rPr>
            <sz val="8"/>
            <color indexed="81"/>
            <rFont val="Tahoma"/>
            <family val="2"/>
          </rPr>
          <t xml:space="preserve">Test failed, major errors / deviations from expected results
- Test Object cannot be delivered without fixing errors and retesting corrected code
</t>
        </r>
      </text>
    </comment>
    <comment ref="P51" authorId="0" shapeId="0" xr:uid="{60BD6CB2-4526-4F2D-86F6-B2D96C69CC5A}">
      <text>
        <r>
          <rPr>
            <b/>
            <sz val="8"/>
            <color indexed="81"/>
            <rFont val="Tahoma"/>
            <family val="2"/>
          </rPr>
          <t>Tailoring: Mandatory</t>
        </r>
        <r>
          <rPr>
            <sz val="8"/>
            <color indexed="81"/>
            <rFont val="Tahoma"/>
            <family val="2"/>
          </rPr>
          <t xml:space="preserve">
</t>
        </r>
      </text>
    </comment>
    <comment ref="Q51" authorId="3" shapeId="0" xr:uid="{8CC92B5F-5F91-4C29-94E6-25B44A2634AC}">
      <text>
        <r>
          <rPr>
            <b/>
            <sz val="8"/>
            <color indexed="81"/>
            <rFont val="Tahoma"/>
            <family val="2"/>
          </rPr>
          <t xml:space="preserve">Tailoring: Recommended 
Mandatory for Software Tests
Number of Test Cases executed in test </t>
        </r>
        <r>
          <rPr>
            <sz val="8"/>
            <color indexed="81"/>
            <rFont val="Tahoma"/>
            <family val="2"/>
          </rPr>
          <t xml:space="preserve">
</t>
        </r>
      </text>
    </comment>
    <comment ref="R51" authorId="0" shapeId="0" xr:uid="{06924D07-6865-4169-AEAA-35EA1DCCD9A9}">
      <text>
        <r>
          <rPr>
            <b/>
            <sz val="8"/>
            <color indexed="81"/>
            <rFont val="Tahoma"/>
            <family val="2"/>
          </rPr>
          <t xml:space="preserve">Tailoring: Mandatory
</t>
        </r>
        <r>
          <rPr>
            <sz val="8"/>
            <color indexed="81"/>
            <rFont val="Tahoma"/>
            <family val="2"/>
          </rPr>
          <t xml:space="preserve">
</t>
        </r>
      </text>
    </comment>
    <comment ref="S51" authorId="0" shapeId="0" xr:uid="{E7C45AE7-1927-4C9D-98F9-E95B69F628D6}">
      <text>
        <r>
          <rPr>
            <b/>
            <sz val="8"/>
            <color indexed="81"/>
            <rFont val="Tahoma"/>
            <family val="2"/>
          </rPr>
          <t>Tailoring Recommended</t>
        </r>
        <r>
          <rPr>
            <sz val="8"/>
            <color indexed="81"/>
            <rFont val="Tahoma"/>
            <family val="2"/>
          </rPr>
          <t xml:space="preserve">
</t>
        </r>
      </text>
    </comment>
    <comment ref="T51" authorId="2" shapeId="0" xr:uid="{C0EEB187-439E-4C5D-B807-FC3359076B63}">
      <text>
        <r>
          <rPr>
            <sz val="8"/>
            <color indexed="81"/>
            <rFont val="Tahoma"/>
            <family val="2"/>
          </rPr>
          <t xml:space="preserve">Tailoring:
Software mandatory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uidf3082</author>
    <author>Volker Ackermann</author>
    <author>Rainer Resch (uidf3082)</author>
    <author>uidf1974</author>
  </authors>
  <commentList>
    <comment ref="C54" authorId="0" shapeId="0" xr:uid="{00000000-0006-0000-0600-000001000000}">
      <text>
        <r>
          <rPr>
            <b/>
            <sz val="8"/>
            <color indexed="81"/>
            <rFont val="Tahoma"/>
            <family val="2"/>
          </rPr>
          <t>Tailoring Mandatory 
Sample Phase
defined in Folder Legend</t>
        </r>
        <r>
          <rPr>
            <sz val="8"/>
            <color indexed="81"/>
            <rFont val="Tahoma"/>
            <family val="2"/>
          </rPr>
          <t xml:space="preserve">
</t>
        </r>
      </text>
    </comment>
    <comment ref="D54" authorId="0" shapeId="0" xr:uid="{00000000-0006-0000-0600-000002000000}">
      <text>
        <r>
          <rPr>
            <b/>
            <sz val="8"/>
            <color indexed="81"/>
            <rFont val="Tahoma"/>
            <family val="2"/>
          </rPr>
          <t xml:space="preserve">Tailoring: Mandatory
EE  Hardware
SW  Software
ME Mechanical Design
PIT Product Integration Test
PV Product Validation
</t>
        </r>
      </text>
    </comment>
    <comment ref="E54" authorId="1" shapeId="0" xr:uid="{00000000-0006-0000-0600-000003000000}">
      <text>
        <r>
          <rPr>
            <b/>
            <sz val="8"/>
            <color indexed="81"/>
            <rFont val="Tahoma"/>
            <family val="2"/>
          </rPr>
          <t xml:space="preserve">Tailoring: Mandatory
Test Level:
MT: </t>
        </r>
        <r>
          <rPr>
            <sz val="8"/>
            <color indexed="81"/>
            <rFont val="Tahoma"/>
            <family val="2"/>
          </rPr>
          <t>Module Test</t>
        </r>
        <r>
          <rPr>
            <b/>
            <sz val="8"/>
            <color indexed="81"/>
            <rFont val="Tahoma"/>
            <family val="2"/>
          </rPr>
          <t xml:space="preserve">
IT: </t>
        </r>
        <r>
          <rPr>
            <sz val="8"/>
            <color indexed="81"/>
            <rFont val="Tahoma"/>
            <family val="2"/>
          </rPr>
          <t>Integration Test</t>
        </r>
        <r>
          <rPr>
            <b/>
            <sz val="8"/>
            <color indexed="81"/>
            <rFont val="Tahoma"/>
            <family val="2"/>
          </rPr>
          <t xml:space="preserve">
ST: </t>
        </r>
        <r>
          <rPr>
            <sz val="8"/>
            <color indexed="81"/>
            <rFont val="Tahoma"/>
            <family val="2"/>
          </rPr>
          <t>SW System Test</t>
        </r>
        <r>
          <rPr>
            <b/>
            <sz val="8"/>
            <color indexed="81"/>
            <rFont val="Tahoma"/>
            <family val="2"/>
          </rPr>
          <t xml:space="preserve">
PV: </t>
        </r>
        <r>
          <rPr>
            <sz val="8"/>
            <color indexed="81"/>
            <rFont val="Tahoma"/>
            <family val="2"/>
          </rPr>
          <t xml:space="preserve">Product Validation
</t>
        </r>
        <r>
          <rPr>
            <b/>
            <sz val="8"/>
            <color indexed="81"/>
            <rFont val="Tahoma"/>
            <family val="2"/>
          </rPr>
          <t>PV SW</t>
        </r>
        <r>
          <rPr>
            <sz val="8"/>
            <color indexed="81"/>
            <rFont val="Tahoma"/>
            <family val="2"/>
          </rPr>
          <t xml:space="preserve">: PV Software
</t>
        </r>
        <r>
          <rPr>
            <b/>
            <sz val="8"/>
            <color indexed="81"/>
            <rFont val="Tahoma"/>
            <family val="2"/>
          </rPr>
          <t>PV MC</t>
        </r>
        <r>
          <rPr>
            <sz val="8"/>
            <color indexed="81"/>
            <rFont val="Tahoma"/>
            <family val="2"/>
          </rPr>
          <t xml:space="preserve">: PV Mechanical Climatical
</t>
        </r>
        <r>
          <rPr>
            <b/>
            <sz val="8"/>
            <color indexed="81"/>
            <rFont val="Tahoma"/>
            <family val="2"/>
          </rPr>
          <t>PV EE</t>
        </r>
        <r>
          <rPr>
            <sz val="8"/>
            <color indexed="81"/>
            <rFont val="Tahoma"/>
            <family val="2"/>
          </rPr>
          <t>: PV hardware</t>
        </r>
        <r>
          <rPr>
            <b/>
            <sz val="8"/>
            <color indexed="81"/>
            <rFont val="Tahoma"/>
            <family val="2"/>
          </rPr>
          <t xml:space="preserve">
CT: </t>
        </r>
        <r>
          <rPr>
            <sz val="8"/>
            <color indexed="81"/>
            <rFont val="Tahoma"/>
            <family val="2"/>
          </rPr>
          <t>Customer Required Test</t>
        </r>
      </text>
    </comment>
    <comment ref="F54" authorId="1" shapeId="0" xr:uid="{00000000-0006-0000-0600-000004000000}">
      <text>
        <r>
          <rPr>
            <b/>
            <sz val="8"/>
            <color indexed="81"/>
            <rFont val="Tahoma"/>
            <family val="2"/>
          </rPr>
          <t xml:space="preserve">Tailoring: Mandatory
TestTypes:
FULL: </t>
        </r>
        <r>
          <rPr>
            <sz val="8"/>
            <color indexed="81"/>
            <rFont val="Tahoma"/>
            <family val="2"/>
          </rPr>
          <t>Complete Scope of Test Spec</t>
        </r>
        <r>
          <rPr>
            <b/>
            <sz val="8"/>
            <color indexed="81"/>
            <rFont val="Tahoma"/>
            <family val="2"/>
          </rPr>
          <t xml:space="preserve">
REGR: </t>
        </r>
        <r>
          <rPr>
            <sz val="8"/>
            <color indexed="81"/>
            <rFont val="Tahoma"/>
            <family val="2"/>
          </rPr>
          <t>Regression Test</t>
        </r>
        <r>
          <rPr>
            <b/>
            <sz val="8"/>
            <color indexed="81"/>
            <rFont val="Tahoma"/>
            <family val="2"/>
          </rPr>
          <t xml:space="preserve">
SHOR: </t>
        </r>
        <r>
          <rPr>
            <sz val="8"/>
            <color indexed="81"/>
            <rFont val="Tahoma"/>
            <family val="2"/>
          </rPr>
          <t xml:space="preserve">Short Test
</t>
        </r>
        <r>
          <rPr>
            <b/>
            <sz val="8"/>
            <color indexed="81"/>
            <rFont val="Tahoma"/>
            <family val="2"/>
          </rPr>
          <t>INFORM:</t>
        </r>
        <r>
          <rPr>
            <sz val="8"/>
            <color indexed="81"/>
            <rFont val="Tahoma"/>
            <family val="2"/>
          </rPr>
          <t xml:space="preserve"> Informeller Kurztest</t>
        </r>
      </text>
    </comment>
    <comment ref="H54" authorId="0" shapeId="0" xr:uid="{00000000-0006-0000-0600-000005000000}">
      <text>
        <r>
          <rPr>
            <b/>
            <sz val="8"/>
            <color indexed="81"/>
            <rFont val="Tahoma"/>
            <family val="2"/>
          </rPr>
          <t>Tailoring: Mandatory</t>
        </r>
        <r>
          <rPr>
            <sz val="8"/>
            <color indexed="81"/>
            <rFont val="Tahoma"/>
            <family val="2"/>
          </rPr>
          <t xml:space="preserve">
Hint: Add sample or verson information if necessary
</t>
        </r>
      </text>
    </comment>
    <comment ref="I54" authorId="0" shapeId="0" xr:uid="{00000000-0006-0000-0600-000006000000}">
      <text>
        <r>
          <rPr>
            <b/>
            <sz val="8"/>
            <color indexed="81"/>
            <rFont val="Tahoma"/>
            <family val="2"/>
          </rPr>
          <t>Tailoring Mandatory</t>
        </r>
        <r>
          <rPr>
            <sz val="8"/>
            <color indexed="81"/>
            <rFont val="Tahoma"/>
            <family val="2"/>
          </rPr>
          <t xml:space="preserve">
</t>
        </r>
      </text>
    </comment>
    <comment ref="J54" authorId="2" shapeId="0" xr:uid="{00000000-0006-0000-0600-000007000000}">
      <text>
        <r>
          <rPr>
            <b/>
            <sz val="8"/>
            <color indexed="81"/>
            <rFont val="Tahoma"/>
            <family val="2"/>
          </rPr>
          <t>mandatory
Enter valid date
(text is formatted yellow)</t>
        </r>
      </text>
    </comment>
    <comment ref="K54" authorId="2" shapeId="0" xr:uid="{00000000-0006-0000-0600-000008000000}">
      <text>
        <r>
          <rPr>
            <b/>
            <sz val="8"/>
            <color indexed="81"/>
            <rFont val="Tahoma"/>
            <family val="2"/>
          </rPr>
          <t xml:space="preserve">
Enter valid date
(text is formatted yellow)</t>
        </r>
      </text>
    </comment>
    <comment ref="L54" authorId="2" shapeId="0" xr:uid="{00000000-0006-0000-0600-000009000000}">
      <text>
        <r>
          <rPr>
            <b/>
            <sz val="8"/>
            <color indexed="81"/>
            <rFont val="Tahoma"/>
            <family val="2"/>
          </rPr>
          <t xml:space="preserve">
Enter valid date
(text is formatted yellow)</t>
        </r>
      </text>
    </comment>
    <comment ref="M54" authorId="2" shapeId="0" xr:uid="{00000000-0006-0000-0600-00000A000000}">
      <text>
        <r>
          <rPr>
            <b/>
            <sz val="8"/>
            <color indexed="81"/>
            <rFont val="Tahoma"/>
            <family val="2"/>
          </rPr>
          <t>mandatory
Enter valid date
(text is formatted yellow)</t>
        </r>
      </text>
    </comment>
    <comment ref="N54" authorId="1" shapeId="0" xr:uid="{00000000-0006-0000-0600-00000B000000}">
      <text>
        <r>
          <rPr>
            <b/>
            <sz val="8"/>
            <color indexed="81"/>
            <rFont val="Tahoma"/>
            <family val="2"/>
          </rPr>
          <t xml:space="preserve">Tailoring: Mandatory
Status of Test:
PLA: </t>
        </r>
        <r>
          <rPr>
            <sz val="8"/>
            <color indexed="81"/>
            <rFont val="Tahoma"/>
            <family val="2"/>
          </rPr>
          <t xml:space="preserve">planned         =&gt; test is planned (due dates are known)
</t>
        </r>
        <r>
          <rPr>
            <b/>
            <sz val="8"/>
            <color indexed="81"/>
            <rFont val="Tahoma"/>
            <family val="2"/>
          </rPr>
          <t xml:space="preserve">EXE: </t>
        </r>
        <r>
          <rPr>
            <sz val="8"/>
            <color indexed="81"/>
            <rFont val="Tahoma"/>
            <family val="2"/>
          </rPr>
          <t>executed       =&gt; test is performed &amp; the Test Report is written</t>
        </r>
        <r>
          <rPr>
            <b/>
            <sz val="8"/>
            <color indexed="81"/>
            <rFont val="Tahoma"/>
            <family val="2"/>
          </rPr>
          <t xml:space="preserve">
DNE: </t>
        </r>
        <r>
          <rPr>
            <sz val="8"/>
            <color indexed="81"/>
            <rFont val="Tahoma"/>
            <family val="2"/>
          </rPr>
          <t xml:space="preserve">done             =&gt; test has been checked successfully </t>
        </r>
        <r>
          <rPr>
            <b/>
            <sz val="8"/>
            <color indexed="81"/>
            <rFont val="Tahoma"/>
            <family val="2"/>
          </rPr>
          <t xml:space="preserve">
DEF: </t>
        </r>
        <r>
          <rPr>
            <sz val="8"/>
            <color indexed="81"/>
            <rFont val="Tahoma"/>
            <family val="2"/>
          </rPr>
          <t xml:space="preserve">deferred       =&gt; test has delay 
</t>
        </r>
        <r>
          <rPr>
            <b/>
            <sz val="8"/>
            <color indexed="81"/>
            <rFont val="Tahoma"/>
            <family val="2"/>
          </rPr>
          <t>REJ:</t>
        </r>
        <r>
          <rPr>
            <sz val="8"/>
            <color indexed="81"/>
            <rFont val="Tahoma"/>
            <family val="2"/>
          </rPr>
          <t xml:space="preserve"> rejected        =&gt; test is canceled</t>
        </r>
      </text>
    </comment>
    <comment ref="O54" authorId="3" shapeId="0" xr:uid="{00000000-0006-0000-0600-00000C000000}">
      <text>
        <r>
          <rPr>
            <b/>
            <sz val="8"/>
            <color indexed="81"/>
            <rFont val="Tahoma"/>
            <family val="2"/>
          </rPr>
          <t>Tailoring: Mandatory
Test Result:</t>
        </r>
        <r>
          <rPr>
            <sz val="8"/>
            <color indexed="81"/>
            <rFont val="Tahoma"/>
            <family val="2"/>
          </rPr>
          <t xml:space="preserve">
</t>
        </r>
        <r>
          <rPr>
            <b/>
            <sz val="8"/>
            <color indexed="81"/>
            <rFont val="Tahoma"/>
            <family val="2"/>
          </rPr>
          <t xml:space="preserve"> passed </t>
        </r>
        <r>
          <rPr>
            <sz val="8"/>
            <color indexed="81"/>
            <rFont val="Tahoma"/>
            <family val="2"/>
          </rPr>
          <t xml:space="preserve">
- Test passed without any errors / deviations from expected results
- Test Object can be delivered without constraints
</t>
        </r>
        <r>
          <rPr>
            <b/>
            <sz val="8"/>
            <color indexed="81"/>
            <rFont val="Tahoma"/>
            <family val="2"/>
          </rPr>
          <t xml:space="preserve">conditionally accepted </t>
        </r>
        <r>
          <rPr>
            <sz val="8"/>
            <color indexed="81"/>
            <rFont val="Tahoma"/>
            <family val="2"/>
          </rPr>
          <t xml:space="preserve">
- Test passed with minor errors / deviations from expected results
- Test Object can be delivered with constraints described in Release Note 
</t>
        </r>
        <r>
          <rPr>
            <b/>
            <sz val="8"/>
            <color indexed="81"/>
            <rFont val="Tahoma"/>
            <family val="2"/>
          </rPr>
          <t xml:space="preserve">failed
=&gt; </t>
        </r>
        <r>
          <rPr>
            <sz val="8"/>
            <color indexed="81"/>
            <rFont val="Tahoma"/>
            <family val="2"/>
          </rPr>
          <t xml:space="preserve">retesting necessary!
- </t>
        </r>
        <r>
          <rPr>
            <sz val="8"/>
            <color indexed="81"/>
            <rFont val="Tahoma"/>
            <family val="2"/>
          </rPr>
          <t xml:space="preserve">Test failed, major errors / deviations from expected results
- Test Object cannot be delivered without fixing errors and retesting corrected code
</t>
        </r>
      </text>
    </comment>
    <comment ref="P54" authorId="0" shapeId="0" xr:uid="{00000000-0006-0000-0600-00000D000000}">
      <text>
        <r>
          <rPr>
            <b/>
            <sz val="8"/>
            <color indexed="81"/>
            <rFont val="Tahoma"/>
            <family val="2"/>
          </rPr>
          <t>Tailoring: Mandatory</t>
        </r>
        <r>
          <rPr>
            <sz val="8"/>
            <color indexed="81"/>
            <rFont val="Tahoma"/>
            <family val="2"/>
          </rPr>
          <t xml:space="preserve">
</t>
        </r>
      </text>
    </comment>
    <comment ref="Q54" authorId="3" shapeId="0" xr:uid="{00000000-0006-0000-0600-00000E000000}">
      <text>
        <r>
          <rPr>
            <b/>
            <sz val="8"/>
            <color indexed="81"/>
            <rFont val="Tahoma"/>
            <family val="2"/>
          </rPr>
          <t xml:space="preserve">Tailoring: Recommended 
Mandatory for Software Tests
Number of Test Cases executed in test </t>
        </r>
        <r>
          <rPr>
            <sz val="8"/>
            <color indexed="81"/>
            <rFont val="Tahoma"/>
            <family val="2"/>
          </rPr>
          <t xml:space="preserve">
</t>
        </r>
      </text>
    </comment>
    <comment ref="R54" authorId="0" shapeId="0" xr:uid="{00000000-0006-0000-0600-00000F000000}">
      <text>
        <r>
          <rPr>
            <b/>
            <sz val="8"/>
            <color indexed="81"/>
            <rFont val="Tahoma"/>
            <family val="2"/>
          </rPr>
          <t xml:space="preserve">Tailoring: Mandatory
</t>
        </r>
        <r>
          <rPr>
            <sz val="8"/>
            <color indexed="81"/>
            <rFont val="Tahoma"/>
            <family val="2"/>
          </rPr>
          <t xml:space="preserve">
</t>
        </r>
      </text>
    </comment>
    <comment ref="S54" authorId="0" shapeId="0" xr:uid="{00000000-0006-0000-0600-000010000000}">
      <text>
        <r>
          <rPr>
            <b/>
            <sz val="8"/>
            <color indexed="81"/>
            <rFont val="Tahoma"/>
            <family val="2"/>
          </rPr>
          <t>Tailoring Recommended</t>
        </r>
        <r>
          <rPr>
            <sz val="8"/>
            <color indexed="81"/>
            <rFont val="Tahoma"/>
            <family val="2"/>
          </rPr>
          <t xml:space="preserve">
</t>
        </r>
      </text>
    </comment>
    <comment ref="T54" authorId="2" shapeId="0" xr:uid="{00000000-0006-0000-0600-000011000000}">
      <text>
        <r>
          <rPr>
            <sz val="8"/>
            <color indexed="81"/>
            <rFont val="Tahoma"/>
            <family val="2"/>
          </rPr>
          <t xml:space="preserve">Tailoring:
Software mandatory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uidf2881</author>
  </authors>
  <commentList>
    <comment ref="F4" authorId="0" shapeId="0" xr:uid="{00000000-0006-0000-0700-000001000000}">
      <text>
        <r>
          <rPr>
            <sz val="8"/>
            <color indexed="81"/>
            <rFont val="Tahoma"/>
            <family val="2"/>
          </rPr>
          <t xml:space="preserve">optional </t>
        </r>
      </text>
    </comment>
    <comment ref="G4" authorId="0" shapeId="0" xr:uid="{00000000-0006-0000-0700-000002000000}">
      <text>
        <r>
          <rPr>
            <sz val="8"/>
            <color indexed="81"/>
            <rFont val="Tahoma"/>
            <family val="2"/>
          </rPr>
          <t xml:space="preserve">optinal </t>
        </r>
      </text>
    </comment>
    <comment ref="F5" authorId="0" shapeId="0" xr:uid="{00000000-0006-0000-0700-000003000000}">
      <text>
        <r>
          <rPr>
            <sz val="8"/>
            <color indexed="81"/>
            <rFont val="Tahoma"/>
            <family val="2"/>
          </rPr>
          <t xml:space="preserve">optional </t>
        </r>
      </text>
    </comment>
    <comment ref="F6" authorId="0" shapeId="0" xr:uid="{00000000-0006-0000-0700-000004000000}">
      <text>
        <r>
          <rPr>
            <sz val="8"/>
            <color indexed="81"/>
            <rFont val="Tahoma"/>
            <family val="2"/>
          </rPr>
          <t xml:space="preserve">optional </t>
        </r>
      </text>
    </comment>
    <comment ref="F7" authorId="0" shapeId="0" xr:uid="{00000000-0006-0000-0700-000005000000}">
      <text>
        <r>
          <rPr>
            <sz val="8"/>
            <color indexed="81"/>
            <rFont val="Tahoma"/>
            <family val="2"/>
          </rPr>
          <t xml:space="preserve">optional </t>
        </r>
      </text>
    </comment>
    <comment ref="F8" authorId="0" shapeId="0" xr:uid="{00000000-0006-0000-0700-000006000000}">
      <text>
        <r>
          <rPr>
            <sz val="8"/>
            <color indexed="81"/>
            <rFont val="Tahoma"/>
            <family val="2"/>
          </rPr>
          <t xml:space="preserve">optional </t>
        </r>
      </text>
    </comment>
    <comment ref="F9" authorId="0" shapeId="0" xr:uid="{00000000-0006-0000-0700-000007000000}">
      <text>
        <r>
          <rPr>
            <sz val="8"/>
            <color indexed="81"/>
            <rFont val="Tahoma"/>
            <family val="2"/>
          </rPr>
          <t xml:space="preserve">optional </t>
        </r>
      </text>
    </comment>
    <comment ref="F10" authorId="0" shapeId="0" xr:uid="{00000000-0006-0000-0700-000008000000}">
      <text>
        <r>
          <rPr>
            <sz val="8"/>
            <color indexed="81"/>
            <rFont val="Tahoma"/>
            <family val="2"/>
          </rPr>
          <t xml:space="preserve">optional </t>
        </r>
      </text>
    </comment>
  </commentList>
</comments>
</file>

<file path=xl/sharedStrings.xml><?xml version="1.0" encoding="utf-8"?>
<sst xmlns="http://schemas.openxmlformats.org/spreadsheetml/2006/main" count="2936" uniqueCount="794">
  <si>
    <t>Author:</t>
  </si>
  <si>
    <t>Revision:</t>
  </si>
  <si>
    <t>Status:</t>
  </si>
  <si>
    <t>File:</t>
  </si>
  <si>
    <t>Filename</t>
  </si>
  <si>
    <t>History</t>
  </si>
  <si>
    <t>Revision</t>
  </si>
  <si>
    <t>Date</t>
  </si>
  <si>
    <t>Author</t>
  </si>
  <si>
    <t>Reason</t>
  </si>
  <si>
    <t>Keep the revision numbers of the document consistent to the Version Management system!</t>
  </si>
  <si>
    <t>Fill out Instructions:</t>
  </si>
  <si>
    <t>TAB "History"</t>
  </si>
  <si>
    <t>as usual, update after changes</t>
  </si>
  <si>
    <t>Transmittal, reproduction, dissemination and/or editing of this document as well as utilization of its contents and communication thereof to others without express authorization are prohibited. Offenders will be held liable for payment of damages. All rights created by patent grant or registration of a utility model or design patent are reserved.</t>
  </si>
  <si>
    <t>Department</t>
  </si>
  <si>
    <t>Designed by</t>
  </si>
  <si>
    <t>Designation</t>
  </si>
  <si>
    <t xml:space="preserve">Document key </t>
  </si>
  <si>
    <t>Module Test Specification  - Guidelines</t>
  </si>
  <si>
    <t>TAB "Guidelines"</t>
  </si>
  <si>
    <t>this page - Guidelines for the template</t>
  </si>
  <si>
    <t xml:space="preserve">During Test Planning list here the planned tests and the test objective for the planned tests. </t>
  </si>
  <si>
    <t>During Test Case Design the tests with their test cases are explained.</t>
  </si>
  <si>
    <t>The input clearly describes all necessary actions, values and conditions relevant for the test case.  Consider also invalid test input values.</t>
  </si>
  <si>
    <t>The expected result must be described for each test case the way that a clear passed or failed can be given</t>
  </si>
  <si>
    <t>Describe which activities are needed before the test cases can be carried out (test setup).</t>
  </si>
  <si>
    <t>If a certain sequence of test cases is needed during test execution, or test cases based on other test cases, this has to be annotated in the test case description.</t>
  </si>
  <si>
    <t>Hints:</t>
  </si>
  <si>
    <t>There are tests for unconfigured modules and project specific tests for the item under test configured for the specific project (by compiler switches, EEPROM settings etc.).</t>
  </si>
  <si>
    <t>-Consider the compiler flags at compile time! E.g. Test Cases may be different for Highline and Lowline code.</t>
  </si>
  <si>
    <t>-Consider applied EEPROM settings! E.g. country variants Germany / Great Britain / USA.</t>
  </si>
  <si>
    <t>TAB "Tests"</t>
  </si>
  <si>
    <t>Test objective describes the aim of this test.</t>
  </si>
  <si>
    <t>Based on the objectives in the Software Master Test Plan the concrete objective for the test has to be defined during test planning.</t>
  </si>
  <si>
    <t>E.g.</t>
  </si>
  <si>
    <t>- at least one Test Case for each equivalence class of the input parameters of the function</t>
  </si>
  <si>
    <t>- at least two Test Cases (one positive /one negative) for each state transition</t>
  </si>
  <si>
    <t>TestCaseID</t>
  </si>
  <si>
    <t>Test Case Name</t>
  </si>
  <si>
    <t>Input</t>
  </si>
  <si>
    <t>Priority</t>
  </si>
  <si>
    <t>but the information of this document has to be provided (ID ,Name, Priority , Input, Expected result)</t>
  </si>
  <si>
    <t>If defined in the Master Test Plan alternative description of test cases can be used (e.g. Excel format, Aiseq Output),</t>
  </si>
  <si>
    <t>TAB "Traceability Matrix"</t>
  </si>
  <si>
    <t>Test ID</t>
  </si>
  <si>
    <t>Apply the traceability approach as described in the Requirements Management Plan (RMP).</t>
  </si>
  <si>
    <t>- If an external Excel file is used: Add a link to this Excel file.</t>
  </si>
  <si>
    <t xml:space="preserve">- If a Requirements Management Tool is used, like XML Trace System: </t>
  </si>
  <si>
    <t xml:space="preserve">   - Mention its usage.  </t>
  </si>
  <si>
    <t xml:space="preserve">   - Mention the storage location of the connected traceability matrix, e. g. similar to:</t>
  </si>
  <si>
    <t xml:space="preserve">     "The traceability matrix for this document is stored at the defined location as described in</t>
  </si>
  <si>
    <t xml:space="preserve">      the Requirements Management Plan."</t>
  </si>
  <si>
    <t>- If a MS Word table is used add this traceability matrix to this chapter.</t>
  </si>
  <si>
    <t>See PDMK for more details.</t>
  </si>
  <si>
    <t xml:space="preserve">Chapter and or Key from Source Specification </t>
  </si>
  <si>
    <t>Scope</t>
  </si>
  <si>
    <t>Name and revision of the files under test:</t>
  </si>
  <si>
    <t>Name and revision of SW-System used:</t>
  </si>
  <si>
    <t>if applicable</t>
  </si>
  <si>
    <t>Module configuration</t>
  </si>
  <si>
    <t>- Applied compiler switches:</t>
  </si>
  <si>
    <t>List of compiler switches incl. Settings</t>
  </si>
  <si>
    <t>- EEPROM settings:</t>
  </si>
  <si>
    <t>List of relevant EEPROM data settings</t>
  </si>
  <si>
    <t>Emulator type and revision</t>
  </si>
  <si>
    <t>if applicable (e.g. CEVG EVB Rev.B with Agilent 5900A &amp; E5903A)</t>
  </si>
  <si>
    <t>Microcontroller type and revision</t>
  </si>
  <si>
    <t>if applicable (e.g. ARM CEVG2 CDC3205G-C2)</t>
  </si>
  <si>
    <t>IDE name and revision</t>
  </si>
  <si>
    <t>if applicable  (e.g. GHS Multi2000 V3.5 with patches)</t>
  </si>
  <si>
    <t>Test Results Summary</t>
  </si>
  <si>
    <t>     </t>
  </si>
  <si>
    <t>Test Date:</t>
  </si>
  <si>
    <t>Test Scope (Tests carried out):</t>
  </si>
  <si>
    <t>Test execution time</t>
  </si>
  <si>
    <t>Number of Minor Deviations</t>
  </si>
  <si>
    <t>Test Result:</t>
  </si>
  <si>
    <t>Test Coverage</t>
  </si>
  <si>
    <t>List of problems</t>
  </si>
  <si>
    <t>Problem Description</t>
  </si>
  <si>
    <t>Reasons for insufficient test coverage</t>
  </si>
  <si>
    <t>Line(s) of code /function name</t>
  </si>
  <si>
    <t>ID</t>
  </si>
  <si>
    <t>passed</t>
  </si>
  <si>
    <t>Präfix</t>
  </si>
  <si>
    <t>failed</t>
  </si>
  <si>
    <t>Zeile</t>
  </si>
  <si>
    <t>cond. acc.</t>
  </si>
  <si>
    <t>Results</t>
  </si>
  <si>
    <t>Test Objective</t>
  </si>
  <si>
    <t>Test Result</t>
  </si>
  <si>
    <t>Expected Result</t>
  </si>
  <si>
    <t>C1:  (branch coverage in  %)</t>
  </si>
  <si>
    <t>Name of Test Specification used</t>
  </si>
  <si>
    <t>Revision of Test Specification used</t>
  </si>
  <si>
    <t>Name of the Module under Test</t>
  </si>
  <si>
    <t>Version Label of the Module under Test</t>
  </si>
  <si>
    <t>overall time per test (in hours)</t>
  </si>
  <si>
    <t>failed (minor error)</t>
  </si>
  <si>
    <t>Tester (Name):</t>
  </si>
  <si>
    <t>Data for PVV Status</t>
  </si>
  <si>
    <t>Test number</t>
  </si>
  <si>
    <t>Project</t>
  </si>
  <si>
    <t>Sample Phase</t>
  </si>
  <si>
    <t>Discipline</t>
  </si>
  <si>
    <t>Test Level</t>
  </si>
  <si>
    <t>Test Type</t>
  </si>
  <si>
    <t>Description</t>
  </si>
  <si>
    <t>Test Object</t>
  </si>
  <si>
    <t>Test Responsible</t>
  </si>
  <si>
    <t>Planned Start Date</t>
  </si>
  <si>
    <t>Actual Start Date</t>
  </si>
  <si>
    <t>Planned End Date</t>
  </si>
  <si>
    <t>Actual End Date</t>
  </si>
  <si>
    <t>Test Status</t>
  </si>
  <si>
    <t>Test Execution Time 
[in hours]</t>
  </si>
  <si>
    <t>Number of Test Cases</t>
  </si>
  <si>
    <t>Code Coverage</t>
  </si>
  <si>
    <t>Remark</t>
  </si>
  <si>
    <t>SW</t>
  </si>
  <si>
    <t>MT</t>
  </si>
  <si>
    <t>Number of executed Test Cases:</t>
  </si>
  <si>
    <t>Test Case ID</t>
  </si>
  <si>
    <t>Enter dates in ISO format!</t>
  </si>
  <si>
    <t>Released by</t>
  </si>
  <si>
    <t>Module Test Specification and Report</t>
  </si>
  <si>
    <r>
      <t>1.1</t>
    </r>
    <r>
      <rPr>
        <b/>
        <sz val="7"/>
        <rFont val="Times New Roman"/>
        <family val="1"/>
      </rPr>
      <t xml:space="preserve">        </t>
    </r>
  </si>
  <si>
    <r>
      <t>1.2</t>
    </r>
    <r>
      <rPr>
        <b/>
        <sz val="7"/>
        <rFont val="Times New Roman"/>
        <family val="1"/>
      </rPr>
      <t xml:space="preserve">        </t>
    </r>
  </si>
  <si>
    <t>Test Items</t>
  </si>
  <si>
    <r>
      <t>1</t>
    </r>
    <r>
      <rPr>
        <b/>
        <sz val="7"/>
        <rFont val="Times New Roman"/>
        <family val="1"/>
      </rPr>
      <t xml:space="preserve">         </t>
    </r>
  </si>
  <si>
    <r>
      <t>2</t>
    </r>
    <r>
      <rPr>
        <b/>
        <sz val="7"/>
        <rFont val="Times New Roman"/>
        <family val="1"/>
      </rPr>
      <t xml:space="preserve">         </t>
    </r>
  </si>
  <si>
    <r>
      <t>2.1</t>
    </r>
    <r>
      <rPr>
        <b/>
        <sz val="7"/>
        <rFont val="Times New Roman"/>
        <family val="1"/>
      </rPr>
      <t xml:space="preserve">        </t>
    </r>
  </si>
  <si>
    <t>Test Goal</t>
  </si>
  <si>
    <t>Test Completeness Criteria:</t>
  </si>
  <si>
    <r>
      <t>2.1.1</t>
    </r>
    <r>
      <rPr>
        <sz val="7"/>
        <rFont val="Times New Roman"/>
        <family val="1"/>
      </rPr>
      <t xml:space="preserve">    </t>
    </r>
  </si>
  <si>
    <t>Test End Criteria:</t>
  </si>
  <si>
    <r>
      <t>2.2</t>
    </r>
    <r>
      <rPr>
        <b/>
        <sz val="7"/>
        <rFont val="Times New Roman"/>
        <family val="1"/>
      </rPr>
      <t xml:space="preserve">        </t>
    </r>
  </si>
  <si>
    <t>Assumptions and Constraints</t>
  </si>
  <si>
    <r>
      <t>2.3</t>
    </r>
    <r>
      <rPr>
        <b/>
        <sz val="7"/>
        <rFont val="Times New Roman"/>
        <family val="1"/>
      </rPr>
      <t xml:space="preserve">        </t>
    </r>
  </si>
  <si>
    <t>Test Strategy</t>
  </si>
  <si>
    <r>
      <t>3</t>
    </r>
    <r>
      <rPr>
        <b/>
        <sz val="7"/>
        <rFont val="Times New Roman"/>
        <family val="1"/>
      </rPr>
      <t xml:space="preserve">         </t>
    </r>
  </si>
  <si>
    <t>Test Environment</t>
  </si>
  <si>
    <r>
      <t>3.1</t>
    </r>
    <r>
      <rPr>
        <b/>
        <sz val="7"/>
        <rFont val="Times New Roman"/>
        <family val="1"/>
      </rPr>
      <t xml:space="preserve">        </t>
    </r>
  </si>
  <si>
    <t>Test Platform</t>
  </si>
  <si>
    <r>
      <t>3.2</t>
    </r>
    <r>
      <rPr>
        <b/>
        <sz val="7"/>
        <rFont val="Times New Roman"/>
        <family val="1"/>
      </rPr>
      <t xml:space="preserve">        </t>
    </r>
  </si>
  <si>
    <t>Hardware Tools</t>
  </si>
  <si>
    <r>
      <t>3.3</t>
    </r>
    <r>
      <rPr>
        <b/>
        <sz val="7"/>
        <rFont val="Times New Roman"/>
        <family val="1"/>
      </rPr>
      <t xml:space="preserve">        </t>
    </r>
  </si>
  <si>
    <t>Software Tools</t>
  </si>
  <si>
    <t>Example:</t>
  </si>
  <si>
    <t>TAB "Scope, Approach, Environment"</t>
  </si>
  <si>
    <t xml:space="preserve">Describe the Test Planning Part here: Scope, Approach, Environment for the Test. </t>
  </si>
  <si>
    <t>See the grey boxes for more information. Delete them after filling in your information below.</t>
  </si>
  <si>
    <t>T1</t>
  </si>
  <si>
    <t>• Verify the error conditions when ignition is ON</t>
  </si>
  <si>
    <t>T1.1</t>
  </si>
  <si>
    <t>Display during error condition in degree  Fahrenheit mode</t>
  </si>
  <si>
    <t>- Set error status flag
- Set the unit to degree Fahrenheit</t>
  </si>
  <si>
    <t>The string '--.- °F' is displayed.</t>
  </si>
  <si>
    <t>Handling:</t>
  </si>
  <si>
    <t>==&gt; a new sheet to report the test summary with the current date is added as last right TAB</t>
  </si>
  <si>
    <t>-before executing a new Test, click on grey button "Add new Result" on the right of the table</t>
  </si>
  <si>
    <t>==&gt; a new column "Test Result" with the current date is added on the right of the table to add in the results of each executed test case</t>
  </si>
  <si>
    <t>-enter the results of each executed test case in the new column "Test Result" (select one of the possible values)</t>
  </si>
  <si>
    <t>-go to the new TAB "Test ..." (e.g. by clicking on the hyperlink in the second line of the new column "Test Result"</t>
  </si>
  <si>
    <t>-there you can enter missing data in the table</t>
  </si>
  <si>
    <t xml:space="preserve">-press "Fill in results" button </t>
  </si>
  <si>
    <t>==&gt; Table "List of problems" is automatically generated: all tests which are not passed are entered here</t>
  </si>
  <si>
    <t>==&gt; Table "Data for PVV Status" is automatically generated, this line can be copied into PVV Status Sheet</t>
  </si>
  <si>
    <t>==&gt; "Fill in results" button is deleted to prevent pressing it a second time (list of problems must not be added again)</t>
  </si>
  <si>
    <t>Traceability</t>
  </si>
  <si>
    <t>-enter Test Cases in the table as shown in example above</t>
  </si>
  <si>
    <r>
      <t xml:space="preserve">For </t>
    </r>
    <r>
      <rPr>
        <b/>
        <sz val="10"/>
        <rFont val="Arial"/>
        <family val="2"/>
      </rPr>
      <t>Traceability</t>
    </r>
    <r>
      <rPr>
        <sz val="10"/>
        <rFont val="Arial"/>
        <family val="2"/>
      </rPr>
      <t>, add links in that column as defined in the Requirements Management Plan (RMP).</t>
    </r>
  </si>
  <si>
    <r>
      <t>Test Objective</t>
    </r>
    <r>
      <rPr>
        <sz val="10"/>
        <rFont val="Arial"/>
        <family val="2"/>
      </rPr>
      <t>:</t>
    </r>
  </si>
  <si>
    <r>
      <t xml:space="preserve">- each Test Objective should get an unique </t>
    </r>
    <r>
      <rPr>
        <b/>
        <sz val="10"/>
        <rFont val="Arial"/>
        <family val="2"/>
      </rPr>
      <t>Test ID</t>
    </r>
    <r>
      <rPr>
        <sz val="10"/>
        <rFont val="Arial"/>
        <family val="2"/>
      </rPr>
      <t xml:space="preserve"> in the first column</t>
    </r>
  </si>
  <si>
    <r>
      <t xml:space="preserve">For this purpose the pattern </t>
    </r>
    <r>
      <rPr>
        <b/>
        <sz val="10"/>
        <rFont val="Arial"/>
        <family val="2"/>
      </rPr>
      <t>'Input'</t>
    </r>
    <r>
      <rPr>
        <sz val="10"/>
        <rFont val="Arial"/>
        <family val="2"/>
      </rPr>
      <t xml:space="preserve"> and </t>
    </r>
    <r>
      <rPr>
        <b/>
        <sz val="10"/>
        <rFont val="Arial"/>
        <family val="2"/>
      </rPr>
      <t>'Expected Result'</t>
    </r>
    <r>
      <rPr>
        <sz val="10"/>
        <rFont val="Arial"/>
        <family val="2"/>
      </rPr>
      <t xml:space="preserve"> is used.</t>
    </r>
  </si>
  <si>
    <r>
      <t xml:space="preserve">Each Test Case has an unique </t>
    </r>
    <r>
      <rPr>
        <b/>
        <sz val="10"/>
        <rFont val="Arial"/>
        <family val="2"/>
      </rPr>
      <t>'Test Case ID'</t>
    </r>
    <r>
      <rPr>
        <sz val="10"/>
        <rFont val="Arial"/>
        <family val="2"/>
      </rPr>
      <t xml:space="preserve">, also </t>
    </r>
    <r>
      <rPr>
        <b/>
        <sz val="10"/>
        <rFont val="Arial"/>
        <family val="2"/>
      </rPr>
      <t>Traceability</t>
    </r>
    <r>
      <rPr>
        <sz val="10"/>
        <rFont val="Arial"/>
        <family val="2"/>
      </rPr>
      <t xml:space="preserve"> information and a Priority should be given.</t>
    </r>
  </si>
  <si>
    <r>
      <t xml:space="preserve">Add the </t>
    </r>
    <r>
      <rPr>
        <b/>
        <sz val="10"/>
        <rFont val="Arial"/>
        <family val="2"/>
      </rPr>
      <t>Priority</t>
    </r>
    <r>
      <rPr>
        <sz val="10"/>
        <rFont val="Arial"/>
        <family val="2"/>
      </rPr>
      <t xml:space="preserve"> according to Regression Test Strategy in SW Master Test Plan </t>
    </r>
  </si>
  <si>
    <t>Continental AG</t>
  </si>
  <si>
    <t>FULL</t>
  </si>
  <si>
    <t>REGR</t>
  </si>
  <si>
    <t>SHORT</t>
  </si>
  <si>
    <t>INFORM</t>
  </si>
  <si>
    <t>Test Type:</t>
  </si>
  <si>
    <t xml:space="preserve">MR </t>
  </si>
  <si>
    <t>(fill in Test IDs, if Test Scope = Test IDs):</t>
  </si>
  <si>
    <t>------------</t>
  </si>
  <si>
    <t>Test IDs</t>
  </si>
  <si>
    <t>if applicable  (e.g. HW-Version, LP-Index)</t>
  </si>
  <si>
    <t>EXE</t>
  </si>
  <si>
    <t>TAB "Test &lt;#&gt; &lt;date&gt;"</t>
  </si>
  <si>
    <t>This tab is generated by clicking the button "Add new Result" in the "Tests" tab, see above.</t>
  </si>
  <si>
    <t>-manually fill in missing data as described above</t>
  </si>
  <si>
    <t xml:space="preserve">The result of the executed test is mostly automatically filled in, you only have to enter the follwing informations in the table "Test Results Summary".
-Test Type
-Tester (fill in Name)
-Test Scope: Select Test IDs if no full or regression test was done and enter tested IDs/or reference   
-Test execution time: 
 The effort of the tester for the execution of the test (setting up the test (this includes changes of an existing test automation system), execution of the test, evaluate/discuss test  results, writing test report, storage in CM System, reporting of test results).
-Test Result: select one of the alternatives from the list:
   -passed: Test passed, test object without any deviations 
   -cond. acc.: Test passed, test object with minor deviations
   -failed: Test failed, test object with Errors
-Test Coverage: Enter the result of the Code Coverage (C1) measurement  
</t>
  </si>
  <si>
    <t xml:space="preserve">The "List of problems" is mostly filled in.
</t>
  </si>
  <si>
    <t xml:space="preserve">In the table "Reasons for insufficient test coverage" manually fill in which structure elements of the code are not fully covered by test cases. 
Specify File name, Code line and/or function name and reason.
Explain why they are not covered  - or if the not covered elements are commented in the code with @CTC_ keywords.
Add statistics only. E.g. 
        Number of not reached points: 22
        CTC RBN:  14
        CTC HW:   6
        CTC NOTST:   2
</t>
  </si>
  <si>
    <t>MS_ICEWRN_1</t>
  </si>
  <si>
    <t>Internal</t>
  </si>
  <si>
    <t>SMK 4.7</t>
  </si>
  <si>
    <r>
      <t>2.1.2</t>
    </r>
    <r>
      <rPr>
        <sz val="7"/>
        <rFont val="Times New Roman"/>
        <family val="1"/>
      </rPr>
      <t xml:space="preserve">    </t>
    </r>
  </si>
  <si>
    <t>DOC</t>
  </si>
  <si>
    <t>SMOKE</t>
  </si>
  <si>
    <t>IMPACT</t>
  </si>
  <si>
    <t>PRIORITY</t>
  </si>
  <si>
    <t>DELTA</t>
  </si>
  <si>
    <t>This tab is an empty example of how the generated test report tabs look like. 
It is not intended to be used as a real test report!</t>
  </si>
  <si>
    <t>TAB 
"Test Report template (example)"</t>
  </si>
  <si>
    <t>Variants</t>
  </si>
  <si>
    <t>PQ26|FPK</t>
  </si>
  <si>
    <r>
      <t xml:space="preserve">For which </t>
    </r>
    <r>
      <rPr>
        <b/>
        <sz val="10"/>
        <rFont val="Arial"/>
        <family val="2"/>
      </rPr>
      <t>Variants</t>
    </r>
    <r>
      <rPr>
        <sz val="10"/>
        <rFont val="Arial"/>
        <family val="2"/>
      </rPr>
      <t xml:space="preserve"> is the Test Case applicable (several variants are separated by "|").</t>
    </r>
  </si>
  <si>
    <t>comment: 
(optional, e.g. if defined in SW Master Test Plan)</t>
  </si>
  <si>
    <t>Name and revision (or CM system label) of test frames used and additional test support files</t>
  </si>
  <si>
    <t xml:space="preserve">Within this tab in the "Scope" block, the revisions of the module test specification, module code, test support files, etc. used for the test execution and the test scope performed have to be documented. Also EEPROM settings and applied compiler switches have to be noted in order to ensure reproducibility of the test cycle.
Fill in completely and be able to reproduce the test with this information.
 CM system labels can be used instead of names and revisions. 
“Name and revision of the files under test” is optional if CM system label of module is provided 
</t>
  </si>
  <si>
    <t>Device Identification</t>
  </si>
  <si>
    <t>State</t>
  </si>
  <si>
    <r>
      <t xml:space="preserve">Test automatic test execution can be controlled in column </t>
    </r>
    <r>
      <rPr>
        <b/>
        <sz val="10"/>
        <rFont val="Arial"/>
        <family val="2"/>
      </rPr>
      <t>State</t>
    </r>
    <r>
      <rPr>
        <sz val="10"/>
        <rFont val="Arial"/>
        <family val="2"/>
      </rPr>
      <t xml:space="preserve"> by a definitions like "skip" for temporary exclusions or "obsolete" for general exclusions.</t>
    </r>
  </si>
  <si>
    <t>skip</t>
  </si>
  <si>
    <t>failed (major error / Issue)</t>
  </si>
  <si>
    <t>Number of Errors (Issues)</t>
  </si>
  <si>
    <t>Issue ID</t>
  </si>
  <si>
    <t>Additional information</t>
  </si>
  <si>
    <t>All Static Code Analysis Warnings of this module with level 5 have been analysed and no critical warnings have been identified</t>
  </si>
  <si>
    <t>yes</t>
  </si>
  <si>
    <t>no</t>
  </si>
  <si>
    <t>Comment</t>
  </si>
  <si>
    <t>If the SW Master Test Plan demands to report Static Code Analysis results for each module in the respective SW Module Test Report, then fill in the table below. If not demanded in SMTP, this table can be deleted.</t>
  </si>
  <si>
    <t>All Static Code Analysis Warnings of this module with levels 6 and higher have been analysed and corrected or commented according to SMTP</t>
  </si>
  <si>
    <t>If the SW Master Test Plan demands to report Product Metric deviations for each module in the respective SW Module Test Report, then fill in the table below. If not demanded in SMTP, this table can be deleted.</t>
  </si>
  <si>
    <t>All violations of Product Metric warning limits as defined in SMTP have been corrected or commented in Product Metric Sheet</t>
  </si>
  <si>
    <t>Copyright ( C ) Continental AG 2021</t>
  </si>
  <si>
    <t>COMMON</t>
  </si>
  <si>
    <t>1.1</t>
  </si>
  <si>
    <t>Initial Version</t>
  </si>
  <si>
    <t>The minimum criteria is to have at least one test case linked to each requirement.
Furthermore, test cases must be designed so as to check boundary conditions and various permutations of the configurations.</t>
  </si>
  <si>
    <t>The module test will end when all the test cases listed in the Tests sheet have been tested.</t>
  </si>
  <si>
    <t>N/A</t>
  </si>
  <si>
    <t>Released</t>
  </si>
  <si>
    <t>Passed</t>
  </si>
  <si>
    <t>UT1</t>
  </si>
  <si>
    <t>UT2</t>
  </si>
  <si>
    <t>UT3</t>
  </si>
  <si>
    <t>UT4</t>
  </si>
  <si>
    <t>UT5</t>
  </si>
  <si>
    <t>UT6</t>
  </si>
  <si>
    <t>UT7</t>
  </si>
  <si>
    <t>UT8</t>
  </si>
  <si>
    <t>UT9</t>
  </si>
  <si>
    <t>UT10</t>
  </si>
  <si>
    <t>UT11</t>
  </si>
  <si>
    <t>Unit Test Results</t>
  </si>
  <si>
    <t>UT1_1</t>
  </si>
  <si>
    <t>UT2_1</t>
  </si>
  <si>
    <t>UT3_1</t>
  </si>
  <si>
    <t>UT4_1</t>
  </si>
  <si>
    <t>UT4_2</t>
  </si>
  <si>
    <t>UT5_1</t>
  </si>
  <si>
    <t>UT5_2</t>
  </si>
  <si>
    <t>UT5_3</t>
  </si>
  <si>
    <t>UT5_4</t>
  </si>
  <si>
    <t>UT5_5</t>
  </si>
  <si>
    <t>UT6_1</t>
  </si>
  <si>
    <t>UT6_2</t>
  </si>
  <si>
    <t>UT6_3</t>
  </si>
  <si>
    <t>UT7_1</t>
  </si>
  <si>
    <t>UT8_1</t>
  </si>
  <si>
    <t>UT8_2</t>
  </si>
  <si>
    <t>UT9_1</t>
  </si>
  <si>
    <t>UT10_1</t>
  </si>
  <si>
    <t>UT11_1</t>
  </si>
  <si>
    <t>X</t>
  </si>
  <si>
    <t>Akshat Kumar</t>
  </si>
  <si>
    <t>PSM - Power Sequnece Manager</t>
  </si>
  <si>
    <t>PSM1TS.xlsm</t>
  </si>
  <si>
    <t>PSM components supports a collection of one or more power sequences.
Each power sequence (can be of simple type or power rail type) consists of one or more collection of actions. Simple type supports only one action collection (or action list). Power rail type supports two action collections (or actions lists), one for the startup sequence, and another for the shutdown sequence.</t>
  </si>
  <si>
    <t>pkg\em_psm\tresos\eclipse\plugins\psm\generate\include\psm_cfg.h</t>
  </si>
  <si>
    <t>pkg\em_psm\tresos\eclipse\plugins\psm\generate\include\psm_types.h</t>
  </si>
  <si>
    <t>pkg\em_psm\tresos\eclipse\plugins\psm\generate\src\psm_cfg.c</t>
  </si>
  <si>
    <t>pkg\em_psm\tresos\eclipse\plugins\psm\include\psm_abstract.h</t>
  </si>
  <si>
    <t>pkg\em_psm\tresos\eclipse\plugins\psm\include\psm_internal.h</t>
  </si>
  <si>
    <t>pkg\em_psm\tresos\eclipse\plugins\psm\include\psm_api.h</t>
  </si>
  <si>
    <t>pkg\em_psm\tresos\eclipse\plugins\psm\include\psm_c1.h</t>
  </si>
  <si>
    <t>pkg\em_psm\tresos\eclipse\plugins\psm\src\psm_api.c</t>
  </si>
  <si>
    <t>pkg\em_psm\tresos\eclipse\plugins\psm\src\psm_abstract.c</t>
  </si>
  <si>
    <t>pkg\em_psm\tresos\eclipse\plugins\psm\src\psm_intenal.c</t>
  </si>
  <si>
    <t>UT12</t>
  </si>
  <si>
    <t>UT13</t>
  </si>
  <si>
    <t>UT14</t>
  </si>
  <si>
    <t>Psm_Test__Psm_enGetState_Test_2</t>
  </si>
  <si>
    <t>Psm_Test__Psm_enGetState_Test_3</t>
  </si>
  <si>
    <t>Psm_Test__Psm_enGetState_Test_4</t>
  </si>
  <si>
    <t>Get the state when no sequence is passed</t>
  </si>
  <si>
    <t>Get the state when sequence_0 is passed</t>
  </si>
  <si>
    <t>Psm_Test__Psm_enGetState_Test_1</t>
  </si>
  <si>
    <t>Psm_Test__Psm_boRunSequence_Test_1</t>
  </si>
  <si>
    <t>Psm_Test__Psm_boRunSequence_Test_2</t>
  </si>
  <si>
    <t>Psm_Test__Psm_boRunSequence_Test_3</t>
  </si>
  <si>
    <t>Psm_Test__Psm_boRunSequence_Test_4</t>
  </si>
  <si>
    <t>Psm_Test__Psm_boRunSequence_Test_5</t>
  </si>
  <si>
    <t>Psm_Test__Psm_boStartup_Test_1</t>
  </si>
  <si>
    <t>Psm_Test__Psm_boStartup_Test_2</t>
  </si>
  <si>
    <t>Psm_Test__Psm_boStartup_Test_3</t>
  </si>
  <si>
    <t>Psm_Test__Psm_boStartup_Test_4</t>
  </si>
  <si>
    <t>Psm_Test__Psm_boStartup_Test_5</t>
  </si>
  <si>
    <t>Psm_Test__Psm_boShutdown_Test_1</t>
  </si>
  <si>
    <t>Psm_Test__Psm_boShutdown_Test_2</t>
  </si>
  <si>
    <t>Psm_Test__Psm_boShutdown_Test_3</t>
  </si>
  <si>
    <t>Psm_Test__Psm_boShutdown_Test_4</t>
  </si>
  <si>
    <t>Psm_Test__Psm_boShutdown_Test_5</t>
  </si>
  <si>
    <t>Psm_Test__Psm_boShutdown_Test_6</t>
  </si>
  <si>
    <t>Psm_Test__Psm_boShutdown_Test_7</t>
  </si>
  <si>
    <t>Psm_Test__Psm_boResume_Test_1</t>
  </si>
  <si>
    <t>Psm_Test__Psm_boResume_Test_2</t>
  </si>
  <si>
    <t>Psm_Test__Psm_boResume_Test_3</t>
  </si>
  <si>
    <t>Psm_Test__Psm_boResume_Test_4</t>
  </si>
  <si>
    <t>Psm_Test__Psm_boResume_Test_5</t>
  </si>
  <si>
    <t>Psm_Test__Psm_vStartMonitoring_Test_2</t>
  </si>
  <si>
    <t>Psm_Test__Psm_vStartMonitoring_Test_3</t>
  </si>
  <si>
    <t>Psm_Test__Psm_vStartMonitoring_Test_1</t>
  </si>
  <si>
    <t>Psm_Test__Psm_vStopMonitoring_Test_1</t>
  </si>
  <si>
    <t>Psm_Test__Psm_vStopMonitoring_Test_3</t>
  </si>
  <si>
    <t>Psm_Test__Psm_vStopMonitoring_Test_2</t>
  </si>
  <si>
    <t>Psm_Test__Psm__vStartMonitor_Test_1</t>
  </si>
  <si>
    <t>Psm_Test__Psm__vStartMonitor_Test_2</t>
  </si>
  <si>
    <t>Psm_Test__Psm__vStopMonitor_Test_1</t>
  </si>
  <si>
    <t>Psm_Test__Psm__vStopMonitor_Test_2</t>
  </si>
  <si>
    <t>Psm_Test__Psm__boMonitor_Test_1</t>
  </si>
  <si>
    <t>Psm_Test__Psm__boMonitor_Test_2</t>
  </si>
  <si>
    <t>Psm_Test__Psm__vForceShutdown_Test_1</t>
  </si>
  <si>
    <t>Psm_Test__Psm__vForceShutdown_Test_2</t>
  </si>
  <si>
    <t>Psm_Test__Psm__vForceShutdown_Test_3</t>
  </si>
  <si>
    <t>Psm_Test__Psm__vStartSeq_Test_1</t>
  </si>
  <si>
    <t>Psm_Test__Psm__vStartSeq_Test_2</t>
  </si>
  <si>
    <t>Psm_Test__Psm__enSeqStateM_Test_1</t>
  </si>
  <si>
    <t>Psm_Test__Psm__enSeqStateM_Test_2</t>
  </si>
  <si>
    <t>Psm_Test__Psm__enSeqStateM_Test_3</t>
  </si>
  <si>
    <t>Psm_Test__Psm__enSeqStateM_Test_4</t>
  </si>
  <si>
    <t>Psm_Test__Psm__enSeqStateM_Test_5</t>
  </si>
  <si>
    <t>Psm_Test__Psm__enSeqStateM_Test_6</t>
  </si>
  <si>
    <t>Psm_Test__Psm__enSeqStateM_Test_8</t>
  </si>
  <si>
    <t>Psm_Test__Psm__enSeqStateM_Test_9</t>
  </si>
  <si>
    <t>Psm_Test__Psm__enSeqStateM_Test_10</t>
  </si>
  <si>
    <t>Psm_Test__Psm__enSeqStateM_Test_11</t>
  </si>
  <si>
    <t>Psm_Test__Psm__enSeqStateM_Test_12</t>
  </si>
  <si>
    <t>Psm_Test__Psm__enSeqStateM_Test_13</t>
  </si>
  <si>
    <t>Psm_Test__Psm__enSeqStateM_Test_14</t>
  </si>
  <si>
    <t>Psm_Test__Psm__enSeqStateM_Test_15</t>
  </si>
  <si>
    <t>Psm_Test__Psm__enSeqStateM_Test_16</t>
  </si>
  <si>
    <t>Psm_Test__Psm__enSeqStateM_Test_17</t>
  </si>
  <si>
    <t>Psm_Test__Psm__enSeqStateM_Test_18</t>
  </si>
  <si>
    <t>Psm_Test__Psm__enSeqStateM_Test_19</t>
  </si>
  <si>
    <t>Psm_Test__Psm__enSeqStateM_Test_20</t>
  </si>
  <si>
    <t>Psm_Test__Psm__enSeqStateM_Test_21</t>
  </si>
  <si>
    <t>Psm_Test__Psm__enSeqStateM_Test_22</t>
  </si>
  <si>
    <t>Psm_Test__Psm__enSeqStateM_Test_24</t>
  </si>
  <si>
    <t>Psm_Test__Psm__enSeqStateM_Test_25</t>
  </si>
  <si>
    <t>Psm_Test__Psm__enSeqStateM_Test_26</t>
  </si>
  <si>
    <t>Psm_Test__Psm__enSeqStateM_Test_27</t>
  </si>
  <si>
    <t>Psm_Test__Psm__enSeqStateM_Test_28</t>
  </si>
  <si>
    <t>Psm_Test__Psm__enSeqStateM_Test_29</t>
  </si>
  <si>
    <t>Psm_Test__Psm__enSeqStateM_Test_30</t>
  </si>
  <si>
    <t>Psm_Test__Psm__enSeqStateM_Test_31</t>
  </si>
  <si>
    <t>Psm_Test__Psm__enSeqStateM_Test_32</t>
  </si>
  <si>
    <t>Psm_Test__Psm__enSeqStateM_Test_33</t>
  </si>
  <si>
    <t>Psm_Test__Psm__enMainStateM_Test_1</t>
  </si>
  <si>
    <t>Psm_Test__Psm__enMainStateM_Test_3</t>
  </si>
  <si>
    <t>Psm_Test__Psm__enMainStateM_Test_2</t>
  </si>
  <si>
    <t>Get the sequence return value when no sequence is passed</t>
  </si>
  <si>
    <t>Get the startup return value when no sequence is passed</t>
  </si>
  <si>
    <t>Get the shutdown return value when no sequence is passed</t>
  </si>
  <si>
    <t>Get the resume return value when no sequence is passed</t>
  </si>
  <si>
    <t>Check the StartMonitoring function when no sequence is passed</t>
  </si>
  <si>
    <t>Check the StopMonitoring function when no sequence is passed</t>
  </si>
  <si>
    <t>Check the StartMonitor function when sequence_0 is passed but MonitorType is Interrupt</t>
  </si>
  <si>
    <t xml:space="preserve"> Check the StopMonitor function when sequence_0 is passed but MonitorType is Polling</t>
  </si>
  <si>
    <t>Check the StopMonitor function when sequence_0 is passed but MonitorType is Interrupt</t>
  </si>
  <si>
    <t>Check the ForseShutdown function when null pointer is passed</t>
  </si>
  <si>
    <t>Check the ForseShutdown function when dummy value is passed &amp; no of shutdown dio is 1</t>
  </si>
  <si>
    <t>Check the ForseShutdown function when dummy value is passed &amp; no of shutdown dio is 0</t>
  </si>
  <si>
    <t>Check the Startseq function when no sequence is passed</t>
  </si>
  <si>
    <t>UT2_2</t>
  </si>
  <si>
    <t>UT2_3</t>
  </si>
  <si>
    <t>UT2_4</t>
  </si>
  <si>
    <t>UT3_2</t>
  </si>
  <si>
    <t>UT3_3</t>
  </si>
  <si>
    <t>UT3_4</t>
  </si>
  <si>
    <t>UT3_5</t>
  </si>
  <si>
    <t>UT4_3</t>
  </si>
  <si>
    <t>UT4_4</t>
  </si>
  <si>
    <t>UT4_5</t>
  </si>
  <si>
    <t>UT4_6</t>
  </si>
  <si>
    <t>UT4_7</t>
  </si>
  <si>
    <t>UT7_2</t>
  </si>
  <si>
    <t>UT7_3</t>
  </si>
  <si>
    <t>UT9_2</t>
  </si>
  <si>
    <t>UT10_2</t>
  </si>
  <si>
    <t>UT11_2</t>
  </si>
  <si>
    <t>UT12_1</t>
  </si>
  <si>
    <t>UT12_2</t>
  </si>
  <si>
    <t>UT14_1</t>
  </si>
  <si>
    <t>UT14_2</t>
  </si>
  <si>
    <t>UT14_3</t>
  </si>
  <si>
    <t>psm_default</t>
  </si>
  <si>
    <t>UT13_1</t>
  </si>
  <si>
    <t>UT13_2</t>
  </si>
  <si>
    <t>Set enPsId = Psm_nenPsCount</t>
  </si>
  <si>
    <t>Set enPsId = Psm_nenPsIdPsmPowerSequence_0</t>
  </si>
  <si>
    <t>The return value of the boApiReturn will be FALSE</t>
  </si>
  <si>
    <t>Refer attachment in Gtest Report</t>
  </si>
  <si>
    <t>SWR_CDS_PSM_01</t>
  </si>
  <si>
    <t>SWR_CDS_PSM_02</t>
  </si>
  <si>
    <t>SWR_CDS_PSM_03</t>
  </si>
  <si>
    <t>SWR_CDS_PSM_04</t>
  </si>
  <si>
    <t>SWR_CDS_PSM_05</t>
  </si>
  <si>
    <t>SWR_CDS_PSM_06</t>
  </si>
  <si>
    <t>SWR_CDS_PSM_07</t>
  </si>
  <si>
    <t>SWR_CDS_PSM_08</t>
  </si>
  <si>
    <t>SWR_CDS_PSM_09</t>
  </si>
  <si>
    <t>SWR_CDS_PSM_10</t>
  </si>
  <si>
    <t>SWR_CDS_PSM_11</t>
  </si>
  <si>
    <t>SWR_CDS_PSM_12</t>
  </si>
  <si>
    <t>SWR_CDS_PSM_13</t>
  </si>
  <si>
    <t>SWR_CDS_PSM_14</t>
  </si>
  <si>
    <t>SWR_CDS_PSM_15</t>
  </si>
  <si>
    <t>PSM - Power Sequence Manager</t>
  </si>
  <si>
    <t>psm_internal.c</t>
  </si>
  <si>
    <t>Psm__enSeqStateM(), line num 337</t>
  </si>
  <si>
    <t>None</t>
  </si>
  <si>
    <t>UT1-UT14</t>
  </si>
  <si>
    <t>2.2s</t>
  </si>
  <si>
    <t>False condition cant be achieved as for all other condition in the enum (Psm_tenSeqReturn) have separate else if so if we pass anything else than abort i.e. either Complete or Busy or Async it will go to some other else if.</t>
  </si>
  <si>
    <t>SWR_CDS_PSM_16</t>
  </si>
  <si>
    <t>afaf742c6c6bce2b02819d0a37a11cbf850f2210</t>
  </si>
  <si>
    <t>Gtest Branch: https://github-vni.geo.conti.de/cds/sw.pkg.em_psm/commit/afaf742c6c6bce2b02819d0a37a11cbf850f2210</t>
  </si>
  <si>
    <t>Psm_Test__Psm__enSeqStateM_Test_34</t>
  </si>
  <si>
    <t>Psm_Test__Psm__enSeqStateM_Test_35</t>
  </si>
  <si>
    <t>1.52s</t>
  </si>
  <si>
    <t>Below code is not covered as these are latest code changes and will be taken care in upcoming ticket</t>
  </si>
  <si>
    <t>psm_api.c, psm_internal.c</t>
  </si>
  <si>
    <t>1.2</t>
  </si>
  <si>
    <t>Updated Latest Test Report</t>
  </si>
  <si>
    <t>8624fa2393f7e846cd4355bd0f4628bc5becb8ab</t>
  </si>
  <si>
    <t>Gtest Branch: https://github-vni.geo.conti.de/cds/sw.pkg.em_psm/commit/8624fa2393f7e846cd4355bd0f4628bc5becb8ab</t>
  </si>
  <si>
    <t>1.3</t>
  </si>
  <si>
    <t>Psm_Test__Psm_boRunSequence_Test_6</t>
  </si>
  <si>
    <t>Psm_Test__Psm_boRunSequence_Test_7</t>
  </si>
  <si>
    <t>Get the sequence return value when async event is enqueued and notification is called to check the completion of sequence.</t>
  </si>
  <si>
    <t>UT15</t>
  </si>
  <si>
    <t>UT16</t>
  </si>
  <si>
    <t>UT15_1</t>
  </si>
  <si>
    <t>UT16_1</t>
  </si>
  <si>
    <t>Psm_boAsyncEventEnqueue_Test_1</t>
  </si>
  <si>
    <t>Psm_boAsyncEventDequeue_Test_1</t>
  </si>
  <si>
    <t>Get the Enqueue status when tail index is greater than queue size.</t>
  </si>
  <si>
    <t>Get the Dequeue status when tail index is greater than queue size.</t>
  </si>
  <si>
    <t>Set enPsId = Psm_nenPsIdPsmPowerSequence_4</t>
  </si>
  <si>
    <t>Gtest Branch: https://github-vni.geo.conti.de/cds/sw.pkg.em_psm/commit/61279f3d30864cedd0e638fd7d622fd7846b1cc6</t>
  </si>
  <si>
    <t>61279f3d30864cedd0e638fd7d622fd7846b1cc6</t>
  </si>
  <si>
    <t>UT1-UT16</t>
  </si>
  <si>
    <t>1.40s</t>
  </si>
  <si>
    <t>No else condition to go to next case in order to make it false</t>
  </si>
  <si>
    <t>Psm__vWriteDio(), line num 71</t>
  </si>
  <si>
    <t>psm_abstract.c</t>
  </si>
  <si>
    <t>Added more test cases</t>
  </si>
  <si>
    <t>UT15_2</t>
  </si>
  <si>
    <t>Psm_boAsyncEventEnqueue_Test_2</t>
  </si>
  <si>
    <t>Set enPsId = Psm_nenPsIdPsmPowerSequence_5</t>
  </si>
  <si>
    <t>UT16_2</t>
  </si>
  <si>
    <t>Psm_boAsyncEventDequeue_Test_2</t>
  </si>
  <si>
    <t>UT15_3</t>
  </si>
  <si>
    <t>Psm_boAsyncEventEnqueue_Test_3</t>
  </si>
  <si>
    <t>Get the state return value when multiple sequences are enqueued and then one sequence is dequeued.</t>
  </si>
  <si>
    <t>Get the Enqueue status when queue is full.</t>
  </si>
  <si>
    <t>Set enPsId = Psm_nenPsIdPsmPowerSequence_5,6,7</t>
  </si>
  <si>
    <t>1.4</t>
  </si>
  <si>
    <t>Added more test cases + Fix previous Cases</t>
  </si>
  <si>
    <t>Psm_Test__Psm_boRunSequence_Test_8</t>
  </si>
  <si>
    <t>Get the sequence return value when different sequences are passed and notification is called to check the completion of sequence.</t>
  </si>
  <si>
    <t>Get the sequence return value when async event is enqueued multiple times and notification is called to check the completion of sequence.</t>
  </si>
  <si>
    <t>UT3_6</t>
  </si>
  <si>
    <t>Psm_Test__Psm_boStartup_Test_6</t>
  </si>
  <si>
    <t>UT3_7</t>
  </si>
  <si>
    <t>Psm_Test__Psm_boStartup_Test_7</t>
  </si>
  <si>
    <t>Get the startup and state return value when dio channel is set to high and with enMonitorType as Psm__nenPolling (GPT).</t>
  </si>
  <si>
    <t>Get the startup and state return value when dio channel is set to high and with enMonitorType as Psm__nenInterrupt (ICU).</t>
  </si>
  <si>
    <t>Psm_Test__Psm_boShutdown_Test_8</t>
  </si>
  <si>
    <t>Psm_Test__Psm_boShutdown_Test_9</t>
  </si>
  <si>
    <t>Psm_Test__Psm_boShutdown_Test_10</t>
  </si>
  <si>
    <t>Get the shutdown and state return value when Sync and DriveDio is passed.</t>
  </si>
  <si>
    <t>Get the shutdown and state return value when multiple Async actions are passed.</t>
  </si>
  <si>
    <t>Get the shutdown and state return value when DriveDio, Async are passed.</t>
  </si>
  <si>
    <t>UT5_6</t>
  </si>
  <si>
    <t>Psm_Test__Psm_boResume_Test_6</t>
  </si>
  <si>
    <t>UT7_4</t>
  </si>
  <si>
    <t>Psm_Test__Psm_vStopMonitoring_Test_4</t>
  </si>
  <si>
    <t>UT7_5</t>
  </si>
  <si>
    <t>Psm_Test__Psm_vStopMonitoring_Test_5</t>
  </si>
  <si>
    <t>Check the StartMonitoring function when monitoring is set to Polling (GPT)</t>
  </si>
  <si>
    <t>Check the StartMonitoring function when monitoring is set to Interrupt (ICU)</t>
  </si>
  <si>
    <t>Psm_nenPsIdPsmPowerSequence_17</t>
  </si>
  <si>
    <t>Psm_nenPsIdPsmPowerSequence_18</t>
  </si>
  <si>
    <t>UT9_3</t>
  </si>
  <si>
    <t>Get the sequence return value when Power Rail sequnece enType is passed for TriggerPowerSequence action</t>
  </si>
  <si>
    <t>Get the sequence return value when Power rail sequnece enType is passed for TriggerPowerSequence action and trigger simple power sequence</t>
  </si>
  <si>
    <t>Gtest Branch: https://github-vni.geo.conti.de/cds/sw.pkg.em_psm/commit/9eb7a1adbea3e908b77cd794ae9edf119d18ecf1</t>
  </si>
  <si>
    <t>9eb7a1adbea3e908b77cd794ae9edf119d18ecf1</t>
  </si>
  <si>
    <t>1.5</t>
  </si>
  <si>
    <t>Added test cases for fixed API</t>
  </si>
  <si>
    <t>Gtest Branch: https://github-vni.geo.conti.de/cds/sw.pkg.em_psm/commit/9b306e94257642abfd3b479636aea5474a9a4698</t>
  </si>
  <si>
    <t>9b306e94257642abfd3b479636aea5474a9a4698</t>
  </si>
  <si>
    <t>1.42s</t>
  </si>
  <si>
    <t>Psm_Test__Psm_boShutdown_Test_11</t>
  </si>
  <si>
    <t>Get the shutdown and state return value when invalid shutdown sequence is passed.</t>
  </si>
  <si>
    <t>UT5_7</t>
  </si>
  <si>
    <t>Psm_Test__Psm_boResume_Test_7</t>
  </si>
  <si>
    <t>Get the startup and state &amp; resume api return value when dio channel is again set to high and with enMonitorType as Psm__nenPolling (GPT) after monitoring fails.</t>
  </si>
  <si>
    <t>UT6_4</t>
  </si>
  <si>
    <t>Psm_Test__Psm_vStartMonitoring_Test_4</t>
  </si>
  <si>
    <t>UT6_5</t>
  </si>
  <si>
    <t>Psm_Test__Psm_vStartMonitoring_Test_5</t>
  </si>
  <si>
    <t>Psm_Test__Psm__enSeqStateM_Test_23</t>
  </si>
  <si>
    <t>Get the sequence return value when invalid target sequence triggered from PowerRail sequence for TriggerPowerSequence action</t>
  </si>
  <si>
    <t>Get the sequence return value when another PowerRail sequence enType is triggered from PowerRail sequence for TriggerPowerSequence action</t>
  </si>
  <si>
    <t>1.6</t>
  </si>
  <si>
    <t>Adwiti H</t>
  </si>
  <si>
    <t>Added and updated testcases for Error handling</t>
  </si>
  <si>
    <t>ANS PL1</t>
  </si>
  <si>
    <t>Adwiti</t>
  </si>
  <si>
    <t>Psm_Test__Psm_MainFunction_PowerSequence_Test_1</t>
  </si>
  <si>
    <t>No side effects should be observed and covers the else part of the function.</t>
  </si>
  <si>
    <t>The return value of the enPsState will be Psm_nenIdle and Error handling function is called.</t>
  </si>
  <si>
    <t>The return value of the enPsState will be Psm_nenIdle and Error handling function is not called.</t>
  </si>
  <si>
    <t xml:space="preserve">The return value of the enPsState will be Psm_nenBusy and Error handling function is not called.	</t>
  </si>
  <si>
    <t>The return value of the enPsState will be Psm_nenOff and Error handling function is not called.</t>
  </si>
  <si>
    <t>UT3_8</t>
  </si>
  <si>
    <t>The return value of the boApiReturn will be FALSE and error handling function is called.</t>
  </si>
  <si>
    <t>Check this function when it is invoked unexpectedly and it should not cause any side effects.</t>
  </si>
  <si>
    <t>Get the state when sequence_79 is passed with state as Busy.</t>
  </si>
  <si>
    <t>Get the state when sequence_80 is passed with state as Off.</t>
  </si>
  <si>
    <t>Get the sequence return value when sequence_29 is passed but type is PowerRailPs &amp; state is busy.</t>
  </si>
  <si>
    <t>Get the sequence return value when sequence_28 is passed but type is PowerRailPs</t>
  </si>
  <si>
    <t>The return value of the boApiReturn will be FALSE and Error handling function is called.</t>
  </si>
  <si>
    <t>Get the sequence return value when sequence_30 is passed but type is SimplePs &amp; state is On.</t>
  </si>
  <si>
    <t>Get the sequence return value when sequence_76 is passed but startup action is not null</t>
  </si>
  <si>
    <t>The return value of the enPsState will be Psm_nenIdle and error handling function is not called.</t>
  </si>
  <si>
    <t>Get the startup return value when sequence_29 is passed but type is SimplePs</t>
  </si>
  <si>
    <t>Get the startup return value when sequence_28 is passed but type is PowerRailPs &amp; state is Busy</t>
  </si>
  <si>
    <t>Get the startup return value when sequence_31 is passed but type is PowerRailPs &amp; state is On</t>
  </si>
  <si>
    <t>Get the startup return value when sequence_77 is passed but startup action is not null</t>
  </si>
  <si>
    <t>First the return value of the enPsState will be Psm_nenOn with Psm_boStartup return value as TRUE as DIo Channel is set to high Then the return value of the enPsState will be Psm_nenFail when DIO Channel is set to low and error handling function is not called.</t>
  </si>
  <si>
    <t>UT5_8</t>
  </si>
  <si>
    <t>UT5_9</t>
  </si>
  <si>
    <t>UT5_10</t>
  </si>
  <si>
    <t>UT5_11</t>
  </si>
  <si>
    <t xml:space="preserve">	The return value of the boApiReturn will be FALSE and error handling function is called.</t>
  </si>
  <si>
    <t>Get the shutdown return value when sequence_29 is passed but type is SimplePs</t>
  </si>
  <si>
    <t>Set enPsId = Psm_nenPsIdPsmPowerSequence_79 
Set enPubState = Psm_nenBusy</t>
  </si>
  <si>
    <t>Set enPsId = Psm_nenPsIdPsmPowerSequence_80 
Set enPubState = Psm_nenOff</t>
  </si>
  <si>
    <t>Set enPsId = Psm_nenPsIdPsmPowerSequence_28
Set enType = Psm__nenPowerRailPs</t>
  </si>
  <si>
    <t>Set enPsId = Psm_nenPsIdPsmPowerSequence_29 
Set enType = Psm__nenSimplePs Set enPubState = Psm_nenBusy</t>
  </si>
  <si>
    <t>Set enPsId = Psm_nenPsIdPsmPowerSequence_30 
Set enType = Psm__nenSimplePs 
Set enPubState = Psm_nenOn</t>
  </si>
  <si>
    <t>Set enPsId = Psm_nenPsIdPsmPowerSequence_76 
Set pastStartupAction = Address of dummy structure 
Set enType = Psm__nenSimplePs 
Set enPubState = Psm_nenOn 
Set enSequence = Psm_nenStartup 
Set enState = Psm_nenBusy</t>
  </si>
  <si>
    <t>Set enPsId = Psm_nenPsIdPsmPowerSequence_4 
Set enType = Psm__nenSimplePs</t>
  </si>
  <si>
    <t>Set enPsId = Psm_nenPsIdPsmPowerSequence_8 
Set enType = Psm__nenSimpleP</t>
  </si>
  <si>
    <t>Set enPsId = Psm_nenPsIdPsmPowerSequence_15 
Set enType = Psm__nenSimplePs</t>
  </si>
  <si>
    <t>Set enPsId = Psm_nenPsIdPsmPowerSequence_29 
Set enType = Psm__nenSimplePs</t>
  </si>
  <si>
    <t>Set enPsId = Psm_nenPsIdPsmPowerSequence_28 
Set enType = Psm__nenPowerRailPs 
Set enPubState = Psm_nenBusy</t>
  </si>
  <si>
    <t xml:space="preserve">Set enPsId = Psm_nenPsIdPsmPowerSequence_31 
Set pastStartupAction = NULL_PTR 
Set enType = Psm__nenPowerRailPs 
Set enPubState = Psm_nenOn	</t>
  </si>
  <si>
    <t>Set enPsId = Psm_nenPsIdPsmPowerSequence_77 
Set pastStartupAction = Address of dummy structure 
Set enType = Psm__nenPowerRailPs 
Set enPubState = Psm_nenOn</t>
  </si>
  <si>
    <t>Set enPsId = Psm_nenPsIdPsmPowerSequence_9 
Set enType = Psm__nenPowerRailPs</t>
  </si>
  <si>
    <t>Set enPsId = Psm_nenPsIdPsmPowerSequence_10 
Set enType = Psm__nenPowerRailPs</t>
  </si>
  <si>
    <t>Set enPsId = Psm_nenPsIdPsmPowerSequence_28
Set enType = Psm__nenPowerRailPs 
Set enPubState = Psm_nenBusy</t>
  </si>
  <si>
    <t>Get the shutdown return value when sequence_28 is passed but type is PowerRailPs &amp; state is Busy</t>
  </si>
  <si>
    <t>Get the shutdown return value when sequence_72 is passed but type is PowerRailPs &amp; state is Busy</t>
  </si>
  <si>
    <t>Get the shutdown return value when sequence_73 is passed but type is PowerRailPs</t>
  </si>
  <si>
    <t>Set enPsId = Psm_nenPsIdPsmPowerSequence_72
Set enPubState = Psm_nenBusy</t>
  </si>
  <si>
    <t>Set enPsId = Psm_nenPsIdPsmPowerSequence_73
Set enType = Psm__nenPowerRailPs</t>
  </si>
  <si>
    <t>Set enPsId = Psm_nenPsIdPsmPowerSequence_74
Set pastShutdownAction = Address of dummy structure Set enType = Psm__nenPowerRailPs 
Set enPubState = Psm_nenOn</t>
  </si>
  <si>
    <t>Get the shutdown return value when sequence_74 is passed but ShutdownAction action is not null</t>
  </si>
  <si>
    <t>Set enPsId = Psm_nenPsIdPsmPowerSequence_75 
Set pastShutdownAction = Address of dummy structure Set enType = Psm__nenPowerRailPs 
Set enPubState = Psm_nenOn</t>
  </si>
  <si>
    <t>The return value of the boApiReturn will be TRUE and error handling function is not called.</t>
  </si>
  <si>
    <t>Get the shutdown return value when sequence_75 is passed but ShutdownAction action is null</t>
  </si>
  <si>
    <t>Set enPsId = Psm_nenPsIdPsmPowerSequence_11 
Set enType = Psm__nenPowerRailPs</t>
  </si>
  <si>
    <t>Set enPsId = Psm_nenPsIdPsmPowerSequence_12 
Set enType = Psm__nenPowerRailPs</t>
  </si>
  <si>
    <t>Set enPsId = Psm_nenPsIdPsmPowerSequence_13 
Set enType = Psm__nenPowerRailPs</t>
  </si>
  <si>
    <t>Set enPsId = Psm_nenPsIdPsmPowerSequence_25 
Set enType = Psm__nenPowerRailPs</t>
  </si>
  <si>
    <t>The return value of the boApiReturn will be TRUE he return value of the enPsState will be Psm_nenOff and error handling function is not called.</t>
  </si>
  <si>
    <t>The return value of the boApiReturn will be False The return value of the enPsState will be Psm_nenFail and error handling function is called.</t>
  </si>
  <si>
    <t>UT6_6</t>
  </si>
  <si>
    <t>UT6_7</t>
  </si>
  <si>
    <t>.Set enPsId = Psm_nenPsCount</t>
  </si>
  <si>
    <t>Get the resume return value when sequence_29 is passed but type is SimplePs</t>
  </si>
  <si>
    <t>Get the resume return value when sequence_32 is passed but type is PowerRailPs &amp; state is Idle</t>
  </si>
  <si>
    <t>Get the resume return value when sequence_71 is passed but type is PowerRailPs &amp; state is Fail</t>
  </si>
  <si>
    <t>Set enPsId = Psm_nenPsIdPsmPowerSequence_32 
Set enType = Psm__nenPowerRailPs Set enPubState = Psm_nenIdle</t>
  </si>
  <si>
    <t>Set enPsId = Psm_nenPsIdPsmPowerSequence_71 
Set enType = Psm__nenPowerRailPs 
Set enPubState = Psm_nenFail</t>
  </si>
  <si>
    <t>Get the resume return value when sequence_14 is passed but type is PowerRailPs &amp; state is Fail</t>
  </si>
  <si>
    <t>Set enPsId = Psm_nenPsIdPsmPowerSequence_14
 Set enType = Psm__nenPowerRailPs</t>
  </si>
  <si>
    <t xml:space="preserve">Set enPsId = Psm_nenPsIdPsmPowerSequence_14
Set enType = Psm__nenPowerRailPs </t>
  </si>
  <si>
    <t>Set enPsId = Psm_nenPsIdPsmPowerSequence_26 and Psm_nenPsIdPsmPowerSequence_25
Set enType = Psm__nenPowerRailPs</t>
  </si>
  <si>
    <t>First the return value of the enPsState will be Psm_nenOn with Psm_boStartup return value as TRUE as DIo Channel is set to high  Then the return value of the enPsState will be Psm_nenFail when DIO Channel is set to low  Then the return value of the enPsState will be Psm_nenOn when DIO Channel is set to HIGH again and resume api is called.
Error handling function is not called</t>
  </si>
  <si>
    <t>Check the StartMonitoring function when sequence_32 is passed &amp; state is On</t>
  </si>
  <si>
    <t>Set enPsId = Psm_nenPsIdPsmPowerSequence_32 
Set enPubState = Psm_nenOn</t>
  </si>
  <si>
    <t>Covers the if condition for Psm_vStartMonitoring and error handling function is called.</t>
  </si>
  <si>
    <t>Set enPsId = Psm_nenPsIdPsmPowerSequence_30 
Set enPubState = Psm_nenIdle</t>
  </si>
  <si>
    <t>Check the StartMonitoring function when sequence_30 is passed &amp; state is Idle</t>
  </si>
  <si>
    <t>Covers the else condition for Psm_vStartMonitoring and error handling function is called.</t>
  </si>
  <si>
    <t>Covers the else if condition for Psm_vStartMonitoring and error handling function is called.</t>
  </si>
  <si>
    <t>GPT related calls should be there with no calls for ICU and error handling function is not called.</t>
  </si>
  <si>
    <t>ICU related calls should be there with no calls for GPT and error handling function is not called.</t>
  </si>
  <si>
    <t>UT8_3</t>
  </si>
  <si>
    <t>UT8_4</t>
  </si>
  <si>
    <t>UT8_5</t>
  </si>
  <si>
    <t>Covers the if condition for Psm_vStopMonitoring and error handling function is called.</t>
  </si>
  <si>
    <t>Covers the else condition for Psm_vStopMonitoring and error handling function is called.</t>
  </si>
  <si>
    <t>Set enPsId = Psm_nenPsIdPsmPowerSequence_30 Set enPubState = Psm_nenOn</t>
  </si>
  <si>
    <t>Set enPsId = Psm_nenPsIdPsmPowerSequence_70 Set enPubState = Psm_nenIdle</t>
  </si>
  <si>
    <t>Check the StopMonitoring function when sequence_70 is passed &amp; state is Idle</t>
  </si>
  <si>
    <t>Check the StopMonitoring function when sequence_30 is passed &amp; state is On</t>
  </si>
  <si>
    <t>Check the StartMonitor function when sequence_17 is passed but MonitorType is Polling</t>
  </si>
  <si>
    <t>Check the StartMonitor function when sequence_26 is passed but MonitorType is Interrupt</t>
  </si>
  <si>
    <t>Set enPsId = Psm_nenPsIdPsmPowerSequence_26
Set enMonitorType = Psm__nenInterrupt</t>
  </si>
  <si>
    <t>Set enPsId = Psm_nenPsIdPsmPowerSequence_17
Set enMonitorType = Psm__nenPolling</t>
  </si>
  <si>
    <t>Covers the if condition for Psm__vStartMonitor and error handling function is not called.</t>
  </si>
  <si>
    <t>Covers the else condition for Psm__vStartMonitor and error handling function is not called.</t>
  </si>
  <si>
    <t>Psm_Test__Psm__vStartMonitor_Test_3</t>
  </si>
  <si>
    <t>Set enPsId = Psm_nenPsIdPsmPowerSequence_0
Set enMonitorType = Psm__nenInterrupt</t>
  </si>
  <si>
    <t>Set enPsId = Psm_nenPsIdPsmPowerSequence_18
Set enMonitorType = Psm__nenInterrupt</t>
  </si>
  <si>
    <t>Covers the else condition for Psm__vStopMonitor and error handling function is not called.</t>
  </si>
  <si>
    <t>The return value of the boDioOk will be TRUE and error handling function is not called.</t>
  </si>
  <si>
    <t>The return value of the boDioOk will be FALSE and error handling function is not called.</t>
  </si>
  <si>
    <t>Set enPsId = Psm_nenPsIdPsmPowerSequence_81 
Set enMonitorType = Psm__nenPolling</t>
  </si>
  <si>
    <t>Set enPsId = Psm_nenPsIdPsmPowerSequence_82
Set enMonitorType = Psm__nenPolling</t>
  </si>
  <si>
    <t>Get the monitor return value when sequence_81 is passed &amp; MonitorType is Polling but Dio channel will return STD_LOW</t>
  </si>
  <si>
    <t>Get the monitor return value when sequence_82 is passed &amp; MonitorType is Polling but Dio channel will return STD_HIGH</t>
  </si>
  <si>
    <t>Set enPsId = Psm_nenPsIdPsmPowerSequence_68 
Set u8NumOfForceShutdownDio = 1 Set pastForceShutdownDio = Address of dummy structure</t>
  </si>
  <si>
    <t>Set enPsId = Psm_nenPsIdPsmPowerSequence_83 
Set u8NumOfForceShutdownDio = 0 Set vfpForceShutdownFunc = Address of Dummy shutdown function</t>
  </si>
  <si>
    <t>Set enPsId = Psm_nenPsIdPsmPowerSequence_33
Set u8NumOfForceShutdownDio = 1 
Set pastForceShutdownDio = NULL_PTR</t>
  </si>
  <si>
    <t>Covers the Null pointer condition under if part and error handling is not called</t>
  </si>
  <si>
    <t>Covers the else condition under if part and error handling is not called</t>
  </si>
  <si>
    <t>Covers the Null pointer if condition and error handling is not called</t>
  </si>
  <si>
    <t>UT12_3</t>
  </si>
  <si>
    <t>Set enPsId = Psm_nenPsIdPsmPowerSequence_0 
Set enSequence = Psm_nenNoSequence</t>
  </si>
  <si>
    <t>Set enPsId = Psm_nenPsIdPsmPowerSequence_34
Set enSequence = Psm_nenNoSequence 
Set enMonitorType = Psm__nenPolling 
Set enState = Psm_nenBusy</t>
  </si>
  <si>
    <t>Check the Startseq function when sequence_34 is passed with enMonitorType as Polling &amp; state as Busy</t>
  </si>
  <si>
    <t>Covers the if condition i.e sequence is Psm_nenNoSequence and error handling is called</t>
  </si>
  <si>
    <t>Covers the else if condition i.e sequence is Psm_nenShutdown and error handling is called</t>
  </si>
  <si>
    <t>The return value of the enSeqReturn will be Psm_nenSeqAbort and error handling function is called</t>
  </si>
  <si>
    <r>
      <t>The return value of the enSeqReturn will be Psm_nenSeqAbort</t>
    </r>
    <r>
      <rPr>
        <b/>
        <sz val="10"/>
        <color rgb="FF000000"/>
        <rFont val="Arial"/>
        <family val="2"/>
      </rPr>
      <t xml:space="preserve"> </t>
    </r>
    <r>
      <rPr>
        <sz val="10"/>
        <color rgb="FF000000"/>
        <rFont val="Arial"/>
        <family val="2"/>
      </rPr>
      <t>and error handling function is called</t>
    </r>
  </si>
  <si>
    <t>Get the sequence return value when sequence_44 is passed as Shutdown</t>
  </si>
  <si>
    <t>Get the sequence return value when sequence_45 is passed as NoSequence</t>
  </si>
  <si>
    <t>Set enPsId = Psm_nenPsIdPsmPowerSequence_44 
Set pastShutdownAction = NULL_PTR 
Set enSequence = Psm_nenShutdown</t>
  </si>
  <si>
    <t>Set enPsId = Psm_nenPsIdPsmPowerSequence_45
Set enSequence = Psm_nenNoSequence</t>
  </si>
  <si>
    <t>UT14_4</t>
  </si>
  <si>
    <t>UT14_5</t>
  </si>
  <si>
    <t>UT14_6</t>
  </si>
  <si>
    <t>The return value of the enSeqReturn will be Psm_nenSeqComplete and error handling function is not called</t>
  </si>
  <si>
    <t>Set enPsId = Psm_nenPsIdPsmPowerSequence_46 
Set enSequence = Psm_nenStartup 
Set pastStartupAction = Address of Dummy structure</t>
  </si>
  <si>
    <t>Set enPsId = Psm_nenPsIdPsmPowerSequence_47 
Set enSequence = Psm_nenStartup 
Set pastStartupAction = Address of Dummy structure 
Set enState = Psm_nenBusy</t>
  </si>
  <si>
    <t>The return value of the enSeqReturn will be Psm_nenSeqAbort and error handling function is not called</t>
  </si>
  <si>
    <t xml:space="preserve"> Get the sequence return value when sequence_46 is passed as Startup &amp; dummy value is passed for startup action</t>
  </si>
  <si>
    <t>Get the sequence return value when sequence_47 is passed as Startup with state as Busy</t>
  </si>
  <si>
    <t>Get the sequence return value when sequence_48 is passed as Shutdown with state as Busy</t>
  </si>
  <si>
    <t>Get the sequence return value when sequence_49 is passed as Startup with state as Busy</t>
  </si>
  <si>
    <t>Set enPsId = Psm_nenPsIdPsmPowerSequence_48 
Set enSequence = Psm_nenShutdown 
Set pastStartupAction = Address of Dummy structure 
Set enState = Psm_nenBusy</t>
  </si>
  <si>
    <t>Set enPsId = Psm_nenPsIdPsmPowerSequence_49 
Set enSequence = Psm_nenStartup 
Set pastStartupAction = Address of Dummy structure 
Set enState = Psm_nenBusy 
Set u8NumOfStartupAction = 1</t>
  </si>
  <si>
    <t>UT14_8</t>
  </si>
  <si>
    <t>UT14_9</t>
  </si>
  <si>
    <t>UT14_10</t>
  </si>
  <si>
    <t>UT14_11</t>
  </si>
  <si>
    <t>UT14_12</t>
  </si>
  <si>
    <t>UT14_13</t>
  </si>
  <si>
    <t>UT14_14</t>
  </si>
  <si>
    <t>UT14_15</t>
  </si>
  <si>
    <t>UT14_16</t>
  </si>
  <si>
    <t>Unsatisfy the if condition and come out of loop and error handling function is not called
The return value of the enSeqReturn will be Psm_nenSeqComplete</t>
  </si>
  <si>
    <t>Check the condition when sequence_51 is passed as Startup with state as Busy &amp; action data is dummy</t>
  </si>
  <si>
    <t>Set enPsId = Psm_nenPsIdPsmPowerSequence_51
Set enSequence = Psm_nenStartup
Set pastStartupAction-&gt;enAction  = Psm__nenDriveDio
Set enState = Psm_nenBusy
Set u8SeqStepId = 0
Set u8NumOfStartupAction = 1</t>
  </si>
  <si>
    <t>Get the sequence return value when sequence_52 is passed &amp; switch case is DriveDio</t>
  </si>
  <si>
    <t>Get the sequence return value when sequence_53 is passed &amp; switch case is DriveDio</t>
  </si>
  <si>
    <t>Set enPsId = Psm_nenPsIdPsmPowerSequence_52
Set enSequence = Psm_nenStartup
Set enState = Psm_nenBusy
Set pastStartupAction-&gt;enAction = Psm__nenDriveDio</t>
  </si>
  <si>
    <t>Set enPsId = Psm_nenPsIdPsmPowerSequence_53
Set enSequence = Psm_nenStartup
Set enState = Psm_nenBusy
Set u8SeqStepId =  0
Set u8NumOfStartupAction =  1
Set pastStartupAction-&gt;enAction = Psm__nenDriveDio</t>
  </si>
  <si>
    <t>The return value of the enSeqReturn will be Psm_nenSeqAbort and error handling function is called with invalid config</t>
  </si>
  <si>
    <t>Get the sequence return value when sequence_54 is passed &amp; switch case is PollDio</t>
  </si>
  <si>
    <t>Get the sequence return value when sequence_55 is passed &amp; switch case is PollDio &amp; Dio real channel return is STD_LOW</t>
  </si>
  <si>
    <t>Set enPsId = Psm_nenPsIdPsmPowerSequence_54
Set enSequence = Psm_nenStartup
Set enState = Psm_nenBusy
Set u8SeqStepId = 0
Set u8NumOfStartupAction = 1
Set pastStartupAction-&gt;enAction = Psm__nenPollDio</t>
  </si>
  <si>
    <t>Set enPsId = Psm_nenPsIdPsmPowerSequence_55
Set enSequence = Psm_nenStartup
Set enState = Psm_nenBusy
Set u8SeqStepId = 0
Set u8NumOfStartupAction = 1
Set pastStartupAction-&gt;enAction = Psm__nenPollDio</t>
  </si>
  <si>
    <t xml:space="preserve"> The return value of the enSeqReturn will be Psm_nenSeqComplete and error handling function is not called</t>
  </si>
  <si>
    <t>Get the sequence return value when sequence_69 is passed &amp; switch case is DriveDio &amp; Dio read channel return is STD_HGH</t>
  </si>
  <si>
    <t>Set enPsId = Psm_nenPsIdPsmPowerSequence_69
Set enSequence = Psm_nenStartup
Set enState = Psm_nenBusy
Set u8SeqStepId = 0
Set u8NumOfStartupAction = 1
Set pastStartupAction-&gt;enAction = Psm__nenPollDio</t>
  </si>
  <si>
    <t>Get the sequence return value when sequence_56 is passed &amp; switch case is DriveDio</t>
  </si>
  <si>
    <t xml:space="preserve"> Get the sequence return value when sequence_57 is passed &amp; switch case is SynchronousDelay</t>
  </si>
  <si>
    <t>Set enPsId = Psm_nenPsIdPsmPowerSequence_56
Set enSequence = Psm_nenStartup
Set enState = Psm_nenBusy
Set u8SeqStepId = 0
Set u8NumOfStartupAction = 1
Set pastStartupAction-&gt;enAction = Psm__nenPollDio</t>
  </si>
  <si>
    <t>Set enPsId = Psm_nenPsIdPsmPowerSequence_57
Set enSequence = Psm_nenStartup
Set enState = Psm_nenBusy
Set u8NumOfStartupAction = 1 
Set u8SeqStepId = 0
Set pastStartupAction-&gt;enAction = Psm__nenSynchronousDelay
Set u32DelayCycleLimit = 0</t>
  </si>
  <si>
    <t>UT14_17</t>
  </si>
  <si>
    <t>UT14_18</t>
  </si>
  <si>
    <t>UT14_19</t>
  </si>
  <si>
    <t>UT14_20</t>
  </si>
  <si>
    <t>Get the sequence return value when sequence_58 is passed &amp; switch case is ASynchronousDelay</t>
  </si>
  <si>
    <t>Get the sequence return value when sequence_59 is passed &amp; switch case is CallUserFunction for for step id 0</t>
  </si>
  <si>
    <t>Get the sequence return value when sequence_60 is passed &amp; switch case is CallUserFunction for for step id 0</t>
  </si>
  <si>
    <t>Set enPsId = Psm_nenPsIdPsmPowerSequence_58
Set enSequence = Psm_nenStartup
Set enState = Psm_nenBusy
Set u8NumOfStartupAction = 1
Set u8SeqStepId = 0
Set pastStartupAction-&gt;enAction = Psm__nenAsynchronousDelay
Set u32DelayCycleLimit = 0</t>
  </si>
  <si>
    <t>Set enPsId = Psm_nenPsIdPsmPowerSequence_59
Set enSequence = Psm_nenStartup
Set enState = Psm_nenBusy
Set u8SeqStepId = 0
Set u8NumOfStartupAction = 1
Set pastStartupAction-&gt;enAction = Psm__nenCallUserFunction</t>
  </si>
  <si>
    <t>Set enPsId = Psm_nenPsIdPsmPowerSequence_60
Set enSequence = Psm_nenStartup
Set enState = Psm_nenBusy
Set u8SeqStepId = 0
Set u8NumOfStartupAction = 1
Set pastStartupAction-&gt;enAction = Psm__nenCallUserFunction</t>
  </si>
  <si>
    <t xml:space="preserve"> Set enPsId = Psm_nenPsIdPsmPowerSequence_61
Set enSequence = Psm_nenStartup
Set enState = Psm_nenBusy
Set u8SeqStepId = 0
Set u8NumOfStartupAction = 1
Set pastStartupAction-&gt;enAction = Psm__nenCallUserFunction</t>
  </si>
  <si>
    <t>Get the sequence return value when sequence_61 is passed &amp; switch case is CallUserFunction for for step id 0</t>
  </si>
  <si>
    <t>Get the sequence return value when sequence_62 is passed &amp; switch case is CallUserFunction for for step id 0</t>
  </si>
  <si>
    <t>Set enPsId = Psm_nenPsIdPsmPowerSequence_62
Set enSequence = Psm_nenStartup
Set enState = Psm_nenBusy
Set u8SeqStepId = 0
Set u8NumOfStartupAction = 1
Set pastStartupAction-&gt;enAction = Psm__nenCallUserFunction</t>
  </si>
  <si>
    <t>UT14_21</t>
  </si>
  <si>
    <t>UT14_22</t>
  </si>
  <si>
    <t>UT14_23</t>
  </si>
  <si>
    <t>UT14_24</t>
  </si>
  <si>
    <t>UT14_25</t>
  </si>
  <si>
    <t>Get the sequence return value when sequence_63 is passed &amp; switch case is CallUserFunction_VoidReturn for step id 0</t>
  </si>
  <si>
    <t>Get the sequence return value when sequence_64 is passed &amp; switch case is CallUserFunction_VoidReturn for step id 0</t>
  </si>
  <si>
    <t>Set enPsId = Psm_nenPsIdPsmPowerSequence_63
Set enSequence = Psm_nenStartup
Set enState = Psm_nenBusy
Set u8SeqStepId = 0
Set u8NumOfStartupAction = 0
Set pastStartupAction-&gt;enAction = Psm__nenCallUserFunction_VoidReturn</t>
  </si>
  <si>
    <t>Set enPsId = Psm_nenPsIdPsmPowerSequence_64
Set enSequence = Psm_nenStartup
Set enState = Psm_nenBusy
Set u8SeqStepId = 0
Set u8NumOfStartupAction = 1
Set pastStartupAction-&gt;enAction = Psm__nenCallUserFunction_VoidReturn</t>
  </si>
  <si>
    <t>Set enPsId = Psm_nenPsIdPsmPowerSequence_27
Set enType = Psm__nenPowerRailPs</t>
  </si>
  <si>
    <t>Set enPsId = Psm_nenPsIdPsmPowerSequence_20
Set enType = Psm__nenPsTypeCount</t>
  </si>
  <si>
    <t>Set enPsId = Psm_nenPsIdPsmPowerSequence_21
Set enType = Psm__nenPowerRailPs
Set enTargetPSType = Psm__nenSimplePs</t>
  </si>
  <si>
    <t>Set enPsId = Psm_nenPsIdPsmPowerSequence_22
Set enType = Psm__nenPowerRailPs
Set enTargetPSType = Psm__nenPowerRailPs</t>
  </si>
  <si>
    <t>UT14_26</t>
  </si>
  <si>
    <t>UT14_27</t>
  </si>
  <si>
    <t>UT14_28</t>
  </si>
  <si>
    <t>UT14_29</t>
  </si>
  <si>
    <t>UT14_30</t>
  </si>
  <si>
    <t>Get the sequence return value when sequence_40 is passed &amp; switch case is WaitForPowerSequence</t>
  </si>
  <si>
    <t>Get the sequence return value when invalid sequence enType is triggered from PowerRail sequence for TriggerPowerSequence action</t>
  </si>
  <si>
    <t>Set enPsId = Psm_nenPsIdPsmPowerSequence_24
Set enType = Psm__nenPowerRailPs
Set enTargetPSType = Psm__nenPsTypeCount</t>
  </si>
  <si>
    <t>Set enPsId = Psm_nenPsIdPsmPowerSequence_40
Set enSequence = Psm_nenStartup
Set pastStartupAction = Psm__nenWaitForPowerSequence
Set enState = Psm_nenBusy
Set u8NumOfStartupAction = 1
Set u8SeqStepId = 0</t>
  </si>
  <si>
    <t>The return value of the enSeqReturn will be Psm_nenSeqAsync and error handling function is not called</t>
  </si>
  <si>
    <t>Set enPsId = Psm_nenPsIdPsmPowerSequence_41
Set enSequence = Psm_nenStartup
Set enState = Psm_nenBusy
Set u8SeqStepId = 0
Set u8NumOfStartupAction = 1
Set pastStartupAction-&gt;enAction = Psm__nenWaitForPowerSequence</t>
  </si>
  <si>
    <t>Set enPsId = Psm_nenPsIdPsmPowerSequence_42
Set enSequence = Psm_nenStartup
Set enState = Psm_nenBusy
Set u8SeqStepId = 0
Set u8NumOfStartupAction = 1
Set pastStartupAction-&gt;enAction = Psm__nenWaitForPowerSequence</t>
  </si>
  <si>
    <t>UT14_31</t>
  </si>
  <si>
    <t>UT14_32</t>
  </si>
  <si>
    <t>UT14_33</t>
  </si>
  <si>
    <t>UT14_34</t>
  </si>
  <si>
    <t>UT14_35</t>
  </si>
  <si>
    <t>Get the sequence return value when sequence_41 is passed &amp; switch case is WaitForPowerSequence for step id 0</t>
  </si>
  <si>
    <t>Get the sequence return value when sequence_42 is passed &amp; switch case is WaitForPowerSequence for step id 0</t>
  </si>
  <si>
    <t>The return value of the enSeqReturn will be Psm__nenActAbort and error handling function is called</t>
  </si>
  <si>
    <t>Get the sequence return value when sequence_65 is passed &amp; switch case is Psm__nenCount i.e. default</t>
  </si>
  <si>
    <t>Get the sequence return value when sequence_43 is passed &amp; switch case is WaitForPowerSequence for step id 0 &amp; enPubState is On</t>
  </si>
  <si>
    <t>Set enPsId = Psm_nenPsIdPsmPowerSequence_43
Set enSequence = Psm_nenStartup
Set enState = Psm_nenBusy
Set enPubState = Psm_nenOn
Set u8SeqStepId = 0
Set u8NumOfStartupAction = 1
Set pastStartupAction-&gt;enAction = Psm__nenWaitForPowerSequence</t>
  </si>
  <si>
    <t>Set enPsId = Psm_nenPsIdPsmPowerSequence_65
Set enSequence = Psm_nenStartup
Set enState = Psm_nenBusy
Set u8SeqStepId = 0
Set u8NumOfStartupAction = 1
Set pastStartupAction-&gt;enAction = Psm__nenActionCount</t>
  </si>
  <si>
    <t>Get the sequence return value when sequence_66 &amp; sequence_67 is passed &amp; switch case is Psm__nenTriggerPowerSequence</t>
  </si>
  <si>
    <t>Covers the if condition that satisfies enActReturn == Psm__nenActComplete, and the return value of the enSeqReturn will be Psm_nenSeqComplete
and error handling function is not called</t>
  </si>
  <si>
    <t>the return value of the enSeqReturn will be Psm_nenSeqComplete and error handling function is not called</t>
  </si>
  <si>
    <t>Set enPsId = Psm_nenPsIdPsmPowerSequence_38
Set enSequence = Psm_nenStartup
Set enState = Psm_nenBusy;
Set u8SeqStepId = 0
Set u8NumOfStartupAction = 1
Set pastStartupAction-&gt;enAction  = Psm__nenDriveDio</t>
  </si>
  <si>
    <t>Set enPsId = Psm_nenPsIdPsmPowerSequence_66
Set enPsId = Psm_nenPsIdPsmPowerSequence_67
Set enSequence = Psm_nenStartup (sequence_66)
Set enSequence = Psm_nenStartup (sequence_67)
Set enState = Psm_nenBusy (sequence_66)
Set enState = Psm_nenBusy (sequence_67)
Set u8SeqStepId = 0 (sequence_66)
Set u8NumOfStartupAction = 1 (sequence_66)
Set pastStartupAction-&gt;enAction = Psm__nenWaitForPowerSequence
Set u8NumOfStartupAction = 0 (sequence_67)</t>
  </si>
  <si>
    <t>Get the sequence return value when sequence_38 is passed &amp; switch case is DriveDio</t>
  </si>
  <si>
    <t>UT14_36</t>
  </si>
  <si>
    <t>UT14_37</t>
  </si>
  <si>
    <t>UT14_38</t>
  </si>
  <si>
    <t>UT14_39</t>
  </si>
  <si>
    <t>Psm_Test__Psm__enSeqStateM_Test_36</t>
  </si>
  <si>
    <t>Psm_Test__Psm__enSeqStateM_Test_37</t>
  </si>
  <si>
    <t>Psm_Test__Psm__enSeqStateM_Test_38</t>
  </si>
  <si>
    <t>Psm_Test__Psm__enSeqStateM_Test_39</t>
  </si>
  <si>
    <t>Check the HIGHZ_OFF condition when sequence_39 is passed as Startup with state as Busy &amp; action data is DriveDio</t>
  </si>
  <si>
    <t>Get the sequence return value when sequence_78 is passed &amp; switch case is InvalidAction</t>
  </si>
  <si>
    <t>Get the sequence return value when sequence_84 is passed &amp; switch case is default</t>
  </si>
  <si>
    <t>The return value of the enSeqReturn will be Psm_nenSeqAbort(default else condition when u8DioLevel is not equal to STD_LOW, STD_HIGH, HIGHZ_INBUFF_ON and HIGHZ_INBUFF_OFF) and error handling function is not called</t>
  </si>
  <si>
    <t>Get the sequence return value when sequence_85 is passed &amp; switch case is DriveDio</t>
  </si>
  <si>
    <t>The return value of the enSeqReturn will be Psm_nenSeqAbort and error handling function is called with PSM_E_INVALID_CONFIG</t>
  </si>
  <si>
    <t xml:space="preserve">Check the Psm__enDriveIoStateM else part when u8TotalCount &lt; 0 condition when sequence_86 is passed as Startup with state as Busy &amp; action data is DriveDio with u8NumOfDio as 0 </t>
  </si>
  <si>
    <t>Set enPsId = Psm_nenPsIdPsmPowerSequence_39
Set enSequence = Psm_nenStartup
Set enState = Psm_nenBusy;
Set u8SeqStepId = 0
Set u8NumOfStartupAction = 1
Set pastStartupAction-&gt;enAction  = Psm__nenDriveDio</t>
  </si>
  <si>
    <t>Set enPsId = Psm_nenPsIdPsmPowerSequence_78
Set enSequence = Psm_nenStartup
Set enState = Psm_nenBusy;
Set enPubState = Psm_nenOff
Set u8SeqStepId = 0
Set u8NumOfStartupAction = 1
Set pastStartupAction-&gt;enAction  = Psm__nenInvalidAction
Set pastStartupAction-&gt;pvActionData  = &amp;Psm__SyncDelay</t>
  </si>
  <si>
    <t>Set enPsId = Psm_nenPsIdPsmPowerSequence_84
Set enSequence = Psm_nenStartup
Set enState = Psm_nenBusy;
Set enPubState = Psm_nenOff
Set u8SeqStepId = 0
Set u8NumOfStartupAction = 1
Set pastStartupAction-&gt;enAction  = Psm__nenInvalidAction + 10
Set pastStartupAction-&gt;pvActionData  = &amp;Psm__SyncDelay</t>
  </si>
  <si>
    <t>Set enPsId = Psm_nenPsIdPsmPowerSequence_85
Set enSequence = Psm_nenShutdown
Set enState = Psm_nenBusy
Set pastStartupAction-&gt;enAction = Psm__nenDriveDio</t>
  </si>
  <si>
    <t>Set enPsId = Psm_nenPsIdPsmPowerSequence_86
Set enSequence = Psm_nenStartup
Set enState = Psm_nenBusy;
Set u8SeqStepId = 0
Set u8NumOfStartupAction = 1
Set pastStartupAction-&gt;enAction  = Psm__nenDriveDio
Set pastStartupAction-&gt;pvActionData  = Psm_Dio_ZeroNumIo where in u8NumOfDio = 0</t>
  </si>
  <si>
    <t>Dio_ReadChannel() will return STD_LOW
*          The return value of the enSeqReturn will be Psm_nenSeqComplete
*          Errror handling function is not called</t>
  </si>
  <si>
    <t>Get the sequence return value when sequence_35 is passed with entype as PowerRailPs &amp; Dio Read channel will return STD_LOW</t>
  </si>
  <si>
    <t xml:space="preserve">	Get the sequence return value when sequence_36 is passed with entype as PowerRailPs &amp; Dio Read channel will return STD_HIGH</t>
  </si>
  <si>
    <t>Dio_ReadChannel() will return STD_HIGH
The return value of the enSeqReturn will be Psm_nenSeqMonitorFail and error handling function is not called</t>
  </si>
  <si>
    <t>Set enPsId = Psm_nenPsIdPsmPowerSequence_37
Set boDoNotify = TRUE
Set vfpNotifyFunc = Address of Dummy function (tvfpNotifyFunc)</t>
  </si>
  <si>
    <t>Set enPsId = Psm_nenPsIdPsmPowerSequence_36
Set enType = Psm__nenPowerRailPs
Set enMonitorType = Psm__nenPolling
Set enState = Psm_nenOn</t>
  </si>
  <si>
    <t>Set enPsId = Psm_nenPsIdPsmPowerSequence_35
Set enType = Psm__nenPowerRailPs
Set enMonitorType = Psm__nenPolling
Set enState = Psm_nenOn</t>
  </si>
  <si>
    <t>Get the sequence return value when sequence_37 is passed &amp; dummy function is passed in vfpNotifyFunc</t>
  </si>
  <si>
    <t>UT16_3</t>
  </si>
  <si>
    <t>The return value of the boEnequeueOk will be FALSE and error handling function is not called</t>
  </si>
  <si>
    <t>The return value of the enPsState will be Psm_nenIdle and error handling function is not called</t>
  </si>
  <si>
    <t>The return value of the boEnequeueOk will be FALSE and error handling function is called</t>
  </si>
  <si>
    <t>UT17_1</t>
  </si>
  <si>
    <t>Set enPsId = Psm_nenPsIdPsmPowerSequence_4, use an empty queue structure (head and tail indices are equal).</t>
  </si>
  <si>
    <t>UT17</t>
  </si>
  <si>
    <t>UT1 1</t>
  </si>
  <si>
    <t>UT17_2</t>
  </si>
  <si>
    <t>UT1-UT17</t>
  </si>
  <si>
    <t>Psm__enSeqStateM()</t>
  </si>
  <si>
    <t>x</t>
  </si>
  <si>
    <t>290be1b561415b29111ac8faf53851f51d5afa24</t>
  </si>
  <si>
    <t>Gtest branch: https://github-ix.int.automotive-wan.com/cds/sw.pkg.em_psm/commit/290be1b561415b29111ac8faf53851f51d5afa24</t>
  </si>
  <si>
    <t>False condition cant be achieved as for all other condition in the enum (Psm_tenSeqReturn) have separate else if so if we pass anything else than abort i.e. either Complete or Busy or Async it will go to some other else if.
below section of code in internal.c cannot be covered since it is internally calculated for API function: Psm_tenSeqReturn Psm__enSeqStateM(Psm_tenPsId enPsId)</t>
  </si>
  <si>
    <t>18.016s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</si>
</sst>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numFmts>
  <fonts count="29" x14ac:knownFonts="1">
    <font>
      <sz val="10"/>
      <name val="Arial"/>
    </font>
    <font>
      <sz val="10"/>
      <name val="Arial"/>
      <family val="2"/>
    </font>
    <font>
      <u/>
      <sz val="10"/>
      <color indexed="12"/>
      <name val="Arial"/>
      <family val="2"/>
    </font>
    <font>
      <sz val="8"/>
      <name val="Arial"/>
      <family val="2"/>
    </font>
    <font>
      <sz val="10"/>
      <name val="Arial"/>
      <family val="2"/>
    </font>
    <font>
      <b/>
      <sz val="8"/>
      <color indexed="81"/>
      <name val="Tahoma"/>
      <family val="2"/>
    </font>
    <font>
      <sz val="8"/>
      <name val="Arial"/>
      <family val="2"/>
    </font>
    <font>
      <sz val="8"/>
      <color indexed="81"/>
      <name val="Tahoma"/>
      <family val="2"/>
    </font>
    <font>
      <b/>
      <sz val="10"/>
      <name val="Arial"/>
      <family val="2"/>
    </font>
    <font>
      <b/>
      <sz val="12"/>
      <name val="Arial"/>
      <family val="2"/>
    </font>
    <font>
      <b/>
      <sz val="11"/>
      <name val="Arial"/>
      <family val="2"/>
    </font>
    <font>
      <sz val="11"/>
      <name val="Arial"/>
      <family val="2"/>
    </font>
    <font>
      <b/>
      <sz val="7"/>
      <name val="Times New Roman"/>
      <family val="1"/>
    </font>
    <font>
      <sz val="12"/>
      <name val="Arial"/>
      <family val="2"/>
    </font>
    <font>
      <sz val="7"/>
      <name val="Times New Roman"/>
      <family val="1"/>
    </font>
    <font>
      <sz val="9"/>
      <name val="Arial"/>
      <family val="2"/>
    </font>
    <font>
      <sz val="6"/>
      <name val="Arial"/>
      <family val="2"/>
    </font>
    <font>
      <sz val="6"/>
      <name val="Arial"/>
      <family val="2"/>
    </font>
    <font>
      <sz val="6"/>
      <color indexed="55"/>
      <name val="Arial"/>
      <family val="2"/>
    </font>
    <font>
      <b/>
      <sz val="16"/>
      <name val="Arial"/>
      <family val="2"/>
    </font>
    <font>
      <b/>
      <sz val="15"/>
      <name val="Arial"/>
      <family val="2"/>
    </font>
    <font>
      <sz val="15"/>
      <name val="Arial"/>
      <family val="2"/>
    </font>
    <font>
      <sz val="11"/>
      <name val="Arial"/>
      <family val="2"/>
    </font>
    <font>
      <sz val="12"/>
      <name val="Arial"/>
      <family val="2"/>
    </font>
    <font>
      <i/>
      <sz val="10"/>
      <name val="Arial"/>
      <family val="2"/>
    </font>
    <font>
      <sz val="10"/>
      <color rgb="FF000000"/>
      <name val="Arial"/>
      <family val="2"/>
    </font>
    <font>
      <sz val="8"/>
      <name val="Arial"/>
    </font>
    <font>
      <sz val="7"/>
      <color rgb="FF000000"/>
      <name val="Arial"/>
      <family val="2"/>
    </font>
    <font>
      <b/>
      <sz val="10"/>
      <color rgb="FF000000"/>
      <name val="Arial"/>
      <family val="2"/>
    </font>
  </fonts>
  <fills count="1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9"/>
        <bgColor indexed="64"/>
      </patternFill>
    </fill>
    <fill>
      <patternFill patternType="solid">
        <fgColor indexed="42"/>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indexed="64"/>
      </patternFill>
    </fill>
  </fills>
  <borders count="82">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hair">
        <color indexed="64"/>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64"/>
      </left>
      <right style="thin">
        <color indexed="64"/>
      </right>
      <top/>
      <bottom style="thin">
        <color indexed="64"/>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medium">
        <color indexed="8"/>
      </bottom>
      <diagonal/>
    </border>
    <border>
      <left/>
      <right style="thin">
        <color indexed="8"/>
      </right>
      <top style="thin">
        <color indexed="8"/>
      </top>
      <bottom style="medium">
        <color indexed="8"/>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8"/>
      </right>
      <top style="medium">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style="medium">
        <color indexed="8"/>
      </bottom>
      <diagonal/>
    </border>
    <border>
      <left style="medium">
        <color indexed="8"/>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style="medium">
        <color indexed="8"/>
      </right>
      <top/>
      <bottom style="thin">
        <color indexed="8"/>
      </bottom>
      <diagonal/>
    </border>
    <border>
      <left style="thin">
        <color indexed="64"/>
      </left>
      <right style="thin">
        <color indexed="64"/>
      </right>
      <top/>
      <bottom/>
      <diagonal/>
    </border>
    <border>
      <left style="medium">
        <color indexed="8"/>
      </left>
      <right style="thin">
        <color indexed="8"/>
      </right>
      <top style="medium">
        <color indexed="8"/>
      </top>
      <bottom/>
      <diagonal/>
    </border>
    <border>
      <left style="thin">
        <color indexed="8"/>
      </left>
      <right style="thin">
        <color indexed="8"/>
      </right>
      <top style="medium">
        <color indexed="8"/>
      </top>
      <bottom/>
      <diagonal/>
    </border>
    <border>
      <left style="thin">
        <color indexed="8"/>
      </left>
      <right style="medium">
        <color indexed="8"/>
      </right>
      <top style="medium">
        <color indexed="8"/>
      </top>
      <bottom/>
      <diagonal/>
    </border>
  </borders>
  <cellStyleXfs count="7">
    <xf numFmtId="0" fontId="0" fillId="0" borderId="0"/>
    <xf numFmtId="0" fontId="2" fillId="0" borderId="0" applyNumberFormat="0" applyFill="0" applyBorder="0" applyAlignment="0" applyProtection="0">
      <alignment vertical="top"/>
      <protection locked="0"/>
    </xf>
    <xf numFmtId="0" fontId="1" fillId="0" borderId="0"/>
    <xf numFmtId="0" fontId="1" fillId="0" borderId="0"/>
    <xf numFmtId="0" fontId="11" fillId="0" borderId="0"/>
    <xf numFmtId="0" fontId="11" fillId="0" borderId="0"/>
    <xf numFmtId="164" fontId="11" fillId="0" borderId="0" applyFont="0" applyFill="0" applyBorder="0" applyAlignment="0" applyProtection="0"/>
  </cellStyleXfs>
  <cellXfs count="280">
    <xf numFmtId="0" fontId="0" fillId="0" borderId="0" xfId="0"/>
    <xf numFmtId="0" fontId="0" fillId="0" borderId="0" xfId="0" applyFill="1" applyBorder="1"/>
    <xf numFmtId="0" fontId="0" fillId="0" borderId="0" xfId="0" applyAlignment="1">
      <alignment wrapText="1"/>
    </xf>
    <xf numFmtId="0" fontId="8" fillId="0" borderId="0" xfId="0" applyFont="1"/>
    <xf numFmtId="0" fontId="9" fillId="0" borderId="0" xfId="0" applyFont="1"/>
    <xf numFmtId="0" fontId="8" fillId="0" borderId="0" xfId="0" applyFont="1" applyAlignment="1"/>
    <xf numFmtId="0" fontId="0" fillId="0" borderId="0" xfId="0" applyAlignment="1"/>
    <xf numFmtId="0" fontId="10" fillId="0" borderId="0" xfId="0" applyFont="1"/>
    <xf numFmtId="0" fontId="9" fillId="0" borderId="0" xfId="3" applyFont="1"/>
    <xf numFmtId="0" fontId="11" fillId="0" borderId="0" xfId="4"/>
    <xf numFmtId="0" fontId="8" fillId="0" borderId="0" xfId="3" applyFont="1"/>
    <xf numFmtId="0" fontId="16" fillId="0" borderId="0" xfId="0" applyFont="1"/>
    <xf numFmtId="0" fontId="1" fillId="2" borderId="1" xfId="2" applyFill="1" applyBorder="1"/>
    <xf numFmtId="0" fontId="1" fillId="2" borderId="2" xfId="2" applyFill="1" applyBorder="1" applyAlignment="1">
      <alignment wrapText="1"/>
    </xf>
    <xf numFmtId="0" fontId="1" fillId="2" borderId="3" xfId="2" applyFill="1" applyBorder="1" applyAlignment="1">
      <alignment wrapText="1"/>
    </xf>
    <xf numFmtId="0" fontId="11" fillId="0" borderId="0" xfId="4" applyAlignment="1">
      <alignment vertical="top"/>
    </xf>
    <xf numFmtId="0" fontId="11" fillId="0" borderId="0" xfId="4" applyFont="1" applyAlignment="1">
      <alignment vertical="top"/>
    </xf>
    <xf numFmtId="49" fontId="1" fillId="0" borderId="0" xfId="3" applyNumberFormat="1" applyFont="1" applyAlignment="1">
      <alignment vertical="top" wrapText="1"/>
    </xf>
    <xf numFmtId="49" fontId="1" fillId="0" borderId="0" xfId="3" applyNumberFormat="1" applyFont="1" applyAlignment="1">
      <alignment vertical="top"/>
    </xf>
    <xf numFmtId="0" fontId="11" fillId="0" borderId="0" xfId="4" applyFont="1" applyAlignment="1">
      <alignment vertical="top" wrapText="1"/>
    </xf>
    <xf numFmtId="0" fontId="1" fillId="0" borderId="0" xfId="3" applyFill="1" applyBorder="1" applyAlignment="1">
      <alignment vertical="top"/>
    </xf>
    <xf numFmtId="0" fontId="8" fillId="0" borderId="0" xfId="3" applyFont="1" applyAlignment="1">
      <alignment vertical="top"/>
    </xf>
    <xf numFmtId="49" fontId="8" fillId="0" borderId="0" xfId="3" applyNumberFormat="1" applyFont="1" applyAlignment="1">
      <alignment vertical="top"/>
    </xf>
    <xf numFmtId="0" fontId="8" fillId="0" borderId="0" xfId="2" applyFont="1" applyAlignment="1">
      <alignment horizontal="left" wrapText="1"/>
    </xf>
    <xf numFmtId="0" fontId="17" fillId="0" borderId="4" xfId="0" applyFont="1" applyBorder="1" applyAlignment="1">
      <alignment vertical="top" wrapText="1"/>
    </xf>
    <xf numFmtId="0" fontId="17" fillId="0" borderId="5" xfId="0" applyFont="1" applyBorder="1" applyAlignment="1">
      <alignment vertical="top" wrapText="1"/>
    </xf>
    <xf numFmtId="0" fontId="17" fillId="0" borderId="6" xfId="0" applyFont="1" applyBorder="1" applyAlignment="1">
      <alignment wrapText="1"/>
    </xf>
    <xf numFmtId="0" fontId="15" fillId="0" borderId="8" xfId="0" applyFont="1" applyBorder="1" applyAlignment="1">
      <alignment wrapText="1"/>
    </xf>
    <xf numFmtId="0" fontId="17" fillId="0" borderId="9" xfId="0" applyFont="1" applyBorder="1" applyAlignment="1">
      <alignment wrapText="1"/>
    </xf>
    <xf numFmtId="0" fontId="15" fillId="0" borderId="11" xfId="0" applyFont="1" applyBorder="1" applyAlignment="1">
      <alignment vertical="top" wrapText="1"/>
    </xf>
    <xf numFmtId="0" fontId="15" fillId="0" borderId="12" xfId="0" applyFont="1" applyBorder="1" applyAlignment="1">
      <alignment vertical="top" wrapText="1"/>
    </xf>
    <xf numFmtId="0" fontId="17" fillId="0" borderId="13" xfId="0" applyFont="1" applyBorder="1" applyAlignment="1">
      <alignment vertical="top" wrapText="1"/>
    </xf>
    <xf numFmtId="0" fontId="18" fillId="0" borderId="14" xfId="0" applyFont="1" applyBorder="1" applyAlignment="1">
      <alignment horizontal="right" vertical="top" wrapText="1"/>
    </xf>
    <xf numFmtId="0" fontId="15" fillId="0" borderId="15" xfId="0" applyFont="1" applyBorder="1" applyAlignment="1">
      <alignment vertical="top" wrapText="1"/>
    </xf>
    <xf numFmtId="0" fontId="15" fillId="0" borderId="16" xfId="0" applyFont="1" applyBorder="1" applyAlignment="1">
      <alignment vertical="top" wrapText="1"/>
    </xf>
    <xf numFmtId="0" fontId="15" fillId="0" borderId="17" xfId="0" applyFont="1" applyBorder="1" applyAlignment="1">
      <alignment vertical="top" wrapText="1"/>
    </xf>
    <xf numFmtId="0" fontId="15" fillId="0" borderId="18" xfId="0" applyFont="1" applyBorder="1" applyAlignment="1">
      <alignment vertical="top" wrapText="1"/>
    </xf>
    <xf numFmtId="0" fontId="17" fillId="0" borderId="19" xfId="0" applyFont="1" applyBorder="1" applyAlignment="1">
      <alignment vertical="top" wrapText="1"/>
    </xf>
    <xf numFmtId="0" fontId="0" fillId="0" borderId="20" xfId="0" applyBorder="1" applyAlignment="1"/>
    <xf numFmtId="0" fontId="19" fillId="0" borderId="0" xfId="0" applyFont="1" applyAlignment="1">
      <alignment horizontal="left" indent="2"/>
    </xf>
    <xf numFmtId="0" fontId="9" fillId="0" borderId="0" xfId="0" applyFont="1" applyAlignment="1">
      <alignment horizontal="left" indent="3"/>
    </xf>
    <xf numFmtId="0" fontId="13" fillId="0" borderId="0" xfId="0" applyFont="1"/>
    <xf numFmtId="0" fontId="0" fillId="0" borderId="0" xfId="0" quotePrefix="1" applyAlignment="1"/>
    <xf numFmtId="0" fontId="4" fillId="3" borderId="1" xfId="0" applyFont="1" applyFill="1" applyBorder="1" applyAlignment="1">
      <alignment horizontal="center"/>
    </xf>
    <xf numFmtId="0" fontId="4" fillId="3" borderId="2" xfId="0" applyFont="1" applyFill="1" applyBorder="1" applyAlignment="1">
      <alignment horizontal="center"/>
    </xf>
    <xf numFmtId="0" fontId="0" fillId="0" borderId="21" xfId="0" applyBorder="1"/>
    <xf numFmtId="0" fontId="0" fillId="0" borderId="22" xfId="0" applyBorder="1"/>
    <xf numFmtId="0" fontId="20" fillId="0" borderId="0" xfId="5" applyFont="1"/>
    <xf numFmtId="0" fontId="11" fillId="0" borderId="0" xfId="5"/>
    <xf numFmtId="0" fontId="11" fillId="0" borderId="0" xfId="5" applyFill="1"/>
    <xf numFmtId="0" fontId="21" fillId="0" borderId="0" xfId="5" applyFont="1"/>
    <xf numFmtId="0" fontId="13" fillId="0" borderId="31" xfId="5" applyFont="1" applyBorder="1" applyAlignment="1">
      <alignment vertical="top" wrapText="1"/>
    </xf>
    <xf numFmtId="0" fontId="13" fillId="0" borderId="32" xfId="5" applyFont="1" applyBorder="1" applyAlignment="1">
      <alignment vertical="top" wrapText="1"/>
    </xf>
    <xf numFmtId="0" fontId="13" fillId="0" borderId="33" xfId="5" applyFont="1" applyBorder="1" applyAlignment="1">
      <alignment vertical="top" wrapText="1"/>
    </xf>
    <xf numFmtId="0" fontId="13" fillId="0" borderId="34" xfId="5" applyFont="1" applyBorder="1" applyAlignment="1">
      <alignment vertical="top" wrapText="1"/>
    </xf>
    <xf numFmtId="0" fontId="13" fillId="0" borderId="35" xfId="5" applyFont="1" applyBorder="1" applyAlignment="1">
      <alignment vertical="top" wrapText="1"/>
    </xf>
    <xf numFmtId="0" fontId="13" fillId="0" borderId="36" xfId="5" applyFont="1" applyBorder="1" applyAlignment="1">
      <alignment vertical="top" wrapText="1"/>
    </xf>
    <xf numFmtId="0" fontId="22" fillId="0" borderId="0" xfId="5" applyFont="1"/>
    <xf numFmtId="0" fontId="13" fillId="0" borderId="0" xfId="0" applyFont="1" applyFill="1"/>
    <xf numFmtId="0" fontId="0" fillId="0" borderId="0" xfId="0" applyFill="1" applyAlignment="1">
      <alignment wrapText="1"/>
    </xf>
    <xf numFmtId="0" fontId="0" fillId="0" borderId="0" xfId="0" applyFill="1"/>
    <xf numFmtId="0" fontId="4" fillId="3" borderId="37" xfId="0" applyFont="1" applyFill="1" applyBorder="1" applyAlignment="1">
      <alignment horizontal="center"/>
    </xf>
    <xf numFmtId="0" fontId="4" fillId="3" borderId="29" xfId="0" applyFont="1" applyFill="1" applyBorder="1" applyAlignment="1">
      <alignment horizontal="center"/>
    </xf>
    <xf numFmtId="0" fontId="13" fillId="2" borderId="24" xfId="5" applyFont="1" applyFill="1" applyBorder="1" applyAlignment="1">
      <alignment vertical="top" wrapText="1"/>
    </xf>
    <xf numFmtId="0" fontId="13" fillId="3" borderId="38" xfId="5" applyFont="1" applyFill="1" applyBorder="1" applyAlignment="1">
      <alignment vertical="top" wrapText="1"/>
    </xf>
    <xf numFmtId="0" fontId="13" fillId="3" borderId="39" xfId="5" applyFont="1" applyFill="1" applyBorder="1" applyAlignment="1">
      <alignment vertical="top" wrapText="1"/>
    </xf>
    <xf numFmtId="0" fontId="13" fillId="3" borderId="40" xfId="5" applyFont="1" applyFill="1" applyBorder="1" applyAlignment="1">
      <alignment vertical="top" wrapText="1"/>
    </xf>
    <xf numFmtId="0" fontId="20" fillId="3" borderId="0" xfId="5" applyFont="1" applyFill="1"/>
    <xf numFmtId="0" fontId="11" fillId="3" borderId="0" xfId="5" applyFill="1"/>
    <xf numFmtId="0" fontId="11" fillId="0" borderId="0" xfId="5" applyFont="1"/>
    <xf numFmtId="0" fontId="11" fillId="2" borderId="0" xfId="5" applyFont="1" applyFill="1"/>
    <xf numFmtId="0" fontId="11" fillId="4" borderId="0" xfId="5" applyFill="1"/>
    <xf numFmtId="0" fontId="4" fillId="2" borderId="42" xfId="2" applyFont="1" applyFill="1" applyBorder="1"/>
    <xf numFmtId="0" fontId="1" fillId="2" borderId="43" xfId="2" applyFill="1" applyBorder="1" applyAlignment="1">
      <alignment wrapText="1"/>
    </xf>
    <xf numFmtId="0" fontId="1" fillId="2" borderId="44" xfId="2" applyFill="1" applyBorder="1" applyAlignment="1">
      <alignment wrapText="1"/>
    </xf>
    <xf numFmtId="0" fontId="0" fillId="2" borderId="45" xfId="0" applyFill="1" applyBorder="1"/>
    <xf numFmtId="0" fontId="0" fillId="2" borderId="46" xfId="0" applyFill="1" applyBorder="1" applyAlignment="1">
      <alignment wrapText="1"/>
    </xf>
    <xf numFmtId="0" fontId="0" fillId="2" borderId="47" xfId="0" applyFill="1" applyBorder="1" applyAlignment="1">
      <alignment wrapText="1"/>
    </xf>
    <xf numFmtId="0" fontId="23" fillId="0" borderId="0" xfId="0" applyFont="1" applyAlignment="1">
      <alignment wrapText="1"/>
    </xf>
    <xf numFmtId="0" fontId="9" fillId="0" borderId="0" xfId="0" applyFont="1" applyAlignment="1">
      <alignment wrapText="1"/>
    </xf>
    <xf numFmtId="0" fontId="19" fillId="0" borderId="0" xfId="0" applyFont="1" applyAlignment="1">
      <alignment wrapText="1"/>
    </xf>
    <xf numFmtId="0" fontId="13" fillId="0" borderId="0" xfId="0" applyFont="1" applyAlignment="1">
      <alignment horizontal="right"/>
    </xf>
    <xf numFmtId="0" fontId="24" fillId="0" borderId="0" xfId="3" applyFont="1" applyAlignment="1">
      <alignment vertical="top"/>
    </xf>
    <xf numFmtId="0" fontId="4" fillId="0" borderId="0" xfId="0" applyFont="1"/>
    <xf numFmtId="0" fontId="0" fillId="0" borderId="22" xfId="0" quotePrefix="1" applyBorder="1" applyAlignment="1">
      <alignment wrapText="1"/>
    </xf>
    <xf numFmtId="0" fontId="0" fillId="0" borderId="0" xfId="0" applyBorder="1"/>
    <xf numFmtId="0" fontId="0" fillId="0" borderId="0" xfId="0" quotePrefix="1" applyBorder="1" applyAlignment="1">
      <alignment wrapText="1"/>
    </xf>
    <xf numFmtId="0" fontId="0" fillId="0" borderId="0" xfId="0" quotePrefix="1" applyBorder="1"/>
    <xf numFmtId="0" fontId="0" fillId="0" borderId="0" xfId="0" quotePrefix="1" applyFill="1" applyBorder="1"/>
    <xf numFmtId="0" fontId="0" fillId="0" borderId="0" xfId="0" applyFill="1" applyAlignment="1"/>
    <xf numFmtId="49" fontId="8" fillId="0" borderId="0" xfId="3" applyNumberFormat="1" applyFont="1" applyAlignment="1">
      <alignment vertical="top" wrapText="1"/>
    </xf>
    <xf numFmtId="49" fontId="1" fillId="0" borderId="0" xfId="3" quotePrefix="1" applyNumberFormat="1" applyFont="1" applyAlignment="1">
      <alignment vertical="top" wrapText="1"/>
    </xf>
    <xf numFmtId="0" fontId="3" fillId="0" borderId="0" xfId="0" applyFont="1" applyFill="1" applyBorder="1" applyAlignment="1">
      <alignment horizontal="left" vertical="center"/>
    </xf>
    <xf numFmtId="0" fontId="11" fillId="0" borderId="0" xfId="5" quotePrefix="1" applyFont="1"/>
    <xf numFmtId="165" fontId="11" fillId="0" borderId="0" xfId="5" applyNumberFormat="1"/>
    <xf numFmtId="49" fontId="4" fillId="5" borderId="21" xfId="0" applyNumberFormat="1" applyFont="1" applyFill="1" applyBorder="1"/>
    <xf numFmtId="165" fontId="4" fillId="5" borderId="22" xfId="0" applyNumberFormat="1" applyFont="1" applyFill="1" applyBorder="1" applyAlignment="1">
      <alignment wrapText="1"/>
    </xf>
    <xf numFmtId="0" fontId="4" fillId="5" borderId="22" xfId="0" applyFont="1" applyFill="1" applyBorder="1" applyAlignment="1">
      <alignment wrapText="1"/>
    </xf>
    <xf numFmtId="0" fontId="4" fillId="5" borderId="25" xfId="0" applyFont="1" applyFill="1" applyBorder="1" applyAlignment="1">
      <alignment wrapText="1"/>
    </xf>
    <xf numFmtId="49" fontId="4" fillId="5" borderId="23" xfId="0" applyNumberFormat="1" applyFont="1" applyFill="1" applyBorder="1"/>
    <xf numFmtId="165" fontId="4" fillId="5" borderId="24" xfId="0" applyNumberFormat="1" applyFont="1" applyFill="1" applyBorder="1" applyAlignment="1">
      <alignment wrapText="1"/>
    </xf>
    <xf numFmtId="0" fontId="4" fillId="5" borderId="24" xfId="0" applyFont="1" applyFill="1" applyBorder="1" applyAlignment="1">
      <alignment wrapText="1"/>
    </xf>
    <xf numFmtId="0" fontId="4" fillId="5" borderId="26" xfId="0" applyFont="1" applyFill="1" applyBorder="1" applyAlignment="1">
      <alignment wrapText="1"/>
    </xf>
    <xf numFmtId="0" fontId="4" fillId="0" borderId="22" xfId="0" applyFont="1" applyBorder="1"/>
    <xf numFmtId="0" fontId="4" fillId="3" borderId="22" xfId="0" applyFont="1" applyFill="1" applyBorder="1" applyAlignment="1">
      <alignment horizontal="center"/>
    </xf>
    <xf numFmtId="0" fontId="8" fillId="0" borderId="0" xfId="4" applyFont="1" applyAlignment="1">
      <alignment vertical="top"/>
    </xf>
    <xf numFmtId="0" fontId="18" fillId="3" borderId="29" xfId="0" applyFont="1" applyFill="1" applyBorder="1" applyAlignment="1">
      <alignment horizontal="center"/>
    </xf>
    <xf numFmtId="0" fontId="1" fillId="0" borderId="0" xfId="2" applyFill="1" applyBorder="1" applyAlignment="1">
      <alignment wrapText="1"/>
    </xf>
    <xf numFmtId="0" fontId="8" fillId="0" borderId="0" xfId="3" applyFont="1" applyAlignment="1">
      <alignment vertical="top" wrapText="1"/>
    </xf>
    <xf numFmtId="0" fontId="4" fillId="3" borderId="18" xfId="0" applyFont="1" applyFill="1" applyBorder="1" applyAlignment="1">
      <alignment horizontal="center"/>
    </xf>
    <xf numFmtId="0" fontId="1" fillId="3" borderId="60" xfId="0" applyFont="1" applyFill="1" applyBorder="1" applyAlignment="1">
      <alignment horizontal="center"/>
    </xf>
    <xf numFmtId="0" fontId="1" fillId="0" borderId="27" xfId="0" applyFont="1" applyBorder="1"/>
    <xf numFmtId="0" fontId="8" fillId="0" borderId="0" xfId="2" applyFont="1" applyFill="1" applyBorder="1" applyAlignment="1">
      <alignment horizontal="center"/>
    </xf>
    <xf numFmtId="0" fontId="1" fillId="3" borderId="1" xfId="0" applyFont="1" applyFill="1" applyBorder="1" applyAlignment="1">
      <alignment horizontal="center"/>
    </xf>
    <xf numFmtId="0" fontId="1" fillId="3" borderId="22" xfId="0" applyFont="1" applyFill="1" applyBorder="1" applyAlignment="1">
      <alignment horizontal="center" textRotation="90"/>
    </xf>
    <xf numFmtId="0" fontId="13" fillId="0" borderId="22" xfId="5" applyFont="1" applyBorder="1" applyAlignment="1">
      <alignment vertical="top" wrapText="1"/>
    </xf>
    <xf numFmtId="0" fontId="13" fillId="0" borderId="0" xfId="5" applyFont="1" applyBorder="1" applyAlignment="1">
      <alignment vertical="top" wrapText="1"/>
    </xf>
    <xf numFmtId="0" fontId="13" fillId="0" borderId="0" xfId="5" applyFont="1" applyBorder="1" applyAlignment="1">
      <alignment horizontal="center" vertical="top" wrapText="1"/>
    </xf>
    <xf numFmtId="0" fontId="13" fillId="3" borderId="74" xfId="5" applyFont="1" applyFill="1" applyBorder="1" applyAlignment="1">
      <alignment vertical="top" wrapText="1"/>
    </xf>
    <xf numFmtId="0" fontId="13" fillId="3" borderId="75" xfId="5" applyFont="1" applyFill="1" applyBorder="1" applyAlignment="1">
      <alignment vertical="top" wrapText="1"/>
    </xf>
    <xf numFmtId="0" fontId="1" fillId="3" borderId="41" xfId="0" applyFont="1" applyFill="1" applyBorder="1" applyAlignment="1">
      <alignment horizontal="center" textRotation="90"/>
    </xf>
    <xf numFmtId="0" fontId="1" fillId="3" borderId="21" xfId="0" applyFont="1" applyFill="1" applyBorder="1" applyAlignment="1">
      <alignment horizontal="center" textRotation="90"/>
    </xf>
    <xf numFmtId="0" fontId="1" fillId="3" borderId="22" xfId="0" applyFont="1" applyFill="1" applyBorder="1" applyAlignment="1">
      <alignment horizontal="center" textRotation="90" wrapText="1"/>
    </xf>
    <xf numFmtId="0" fontId="1" fillId="0" borderId="22" xfId="0" applyFont="1" applyFill="1" applyBorder="1" applyAlignment="1">
      <alignment horizontal="center" textRotation="70"/>
    </xf>
    <xf numFmtId="49" fontId="1" fillId="5" borderId="21" xfId="0" applyNumberFormat="1" applyFont="1" applyFill="1" applyBorder="1"/>
    <xf numFmtId="0" fontId="1" fillId="5" borderId="22" xfId="0" applyFont="1" applyFill="1" applyBorder="1" applyAlignment="1">
      <alignment wrapText="1"/>
    </xf>
    <xf numFmtId="0" fontId="1" fillId="5" borderId="25" xfId="0" applyFont="1" applyFill="1" applyBorder="1" applyAlignment="1">
      <alignment wrapText="1"/>
    </xf>
    <xf numFmtId="0" fontId="8" fillId="0" borderId="22" xfId="0" applyFont="1" applyBorder="1" applyAlignment="1">
      <alignment wrapText="1"/>
    </xf>
    <xf numFmtId="0" fontId="1" fillId="0" borderId="22" xfId="0" applyFont="1" applyBorder="1"/>
    <xf numFmtId="0" fontId="1" fillId="0" borderId="22" xfId="0" applyFont="1" applyBorder="1" applyAlignment="1">
      <alignment wrapText="1"/>
    </xf>
    <xf numFmtId="0" fontId="1" fillId="0" borderId="0" xfId="0" applyFont="1" applyAlignment="1">
      <alignment wrapText="1"/>
    </xf>
    <xf numFmtId="0" fontId="1" fillId="0" borderId="0" xfId="0" applyFont="1" applyFill="1" applyAlignment="1">
      <alignment wrapText="1"/>
    </xf>
    <xf numFmtId="0" fontId="1" fillId="0" borderId="0" xfId="0" applyNumberFormat="1" applyFont="1" applyFill="1" applyAlignment="1">
      <alignment wrapText="1"/>
    </xf>
    <xf numFmtId="0" fontId="0" fillId="0" borderId="0" xfId="0" applyNumberFormat="1" applyFill="1" applyAlignment="1">
      <alignment wrapText="1"/>
    </xf>
    <xf numFmtId="0" fontId="13" fillId="0" borderId="22" xfId="5" applyFont="1" applyBorder="1" applyAlignment="1">
      <alignment vertical="top" wrapText="1"/>
    </xf>
    <xf numFmtId="0" fontId="2" fillId="0" borderId="7" xfId="1" applyBorder="1" applyAlignment="1" applyProtection="1">
      <alignment wrapText="1"/>
    </xf>
    <xf numFmtId="0" fontId="2" fillId="0" borderId="10" xfId="1" applyBorder="1" applyAlignment="1" applyProtection="1">
      <alignment wrapText="1"/>
    </xf>
    <xf numFmtId="0" fontId="13" fillId="0" borderId="22" xfId="5" applyFont="1" applyBorder="1" applyAlignment="1">
      <alignment vertical="top" wrapText="1"/>
    </xf>
    <xf numFmtId="0" fontId="1" fillId="0" borderId="22" xfId="0" applyFont="1" applyBorder="1" applyAlignment="1">
      <alignment horizontal="left" vertical="top"/>
    </xf>
    <xf numFmtId="0" fontId="25" fillId="0" borderId="22" xfId="0" applyFont="1" applyBorder="1" applyAlignment="1">
      <alignment horizontal="left" vertical="top" wrapText="1"/>
    </xf>
    <xf numFmtId="0" fontId="1" fillId="6" borderId="22" xfId="0" applyFont="1" applyFill="1" applyBorder="1" applyAlignment="1">
      <alignment horizontal="left" vertical="top"/>
    </xf>
    <xf numFmtId="0" fontId="1" fillId="3" borderId="22" xfId="0" applyFont="1" applyFill="1" applyBorder="1" applyAlignment="1">
      <alignment horizontal="left" vertical="top"/>
    </xf>
    <xf numFmtId="0" fontId="1" fillId="0" borderId="22" xfId="0" applyFont="1" applyBorder="1" applyAlignment="1">
      <alignment horizontal="center" vertical="center" wrapText="1"/>
    </xf>
    <xf numFmtId="0" fontId="1" fillId="0" borderId="31" xfId="5" applyFont="1" applyBorder="1" applyAlignment="1">
      <alignment horizontal="left" vertical="top" wrapText="1"/>
    </xf>
    <xf numFmtId="0" fontId="1" fillId="0" borderId="32" xfId="5" applyFont="1" applyBorder="1" applyAlignment="1">
      <alignment horizontal="left" vertical="top" wrapText="1"/>
    </xf>
    <xf numFmtId="0" fontId="1" fillId="0" borderId="22" xfId="0" applyFont="1" applyBorder="1" applyAlignment="1">
      <alignment horizontal="center" vertical="center" wrapText="1"/>
    </xf>
    <xf numFmtId="0" fontId="8" fillId="8" borderId="41" xfId="0" applyFont="1" applyFill="1" applyBorder="1" applyAlignment="1">
      <alignment vertical="top"/>
    </xf>
    <xf numFmtId="0" fontId="8" fillId="8" borderId="49" xfId="0" applyFont="1" applyFill="1" applyBorder="1" applyAlignment="1">
      <alignment vertical="top"/>
    </xf>
    <xf numFmtId="0" fontId="8" fillId="8" borderId="27" xfId="0" applyFont="1" applyFill="1" applyBorder="1" applyAlignment="1">
      <alignment vertical="top"/>
    </xf>
    <xf numFmtId="0" fontId="8" fillId="0" borderId="22" xfId="0" applyFont="1" applyBorder="1" applyAlignment="1">
      <alignment horizontal="center"/>
    </xf>
    <xf numFmtId="0" fontId="1" fillId="0" borderId="22" xfId="0" applyFont="1" applyBorder="1" applyAlignment="1">
      <alignment horizontal="center" vertical="center" wrapText="1"/>
    </xf>
    <xf numFmtId="0" fontId="13" fillId="0" borderId="22" xfId="5" applyFont="1" applyBorder="1" applyAlignment="1">
      <alignment vertical="top" wrapText="1"/>
    </xf>
    <xf numFmtId="0" fontId="13" fillId="3" borderId="79" xfId="5" applyFont="1" applyFill="1" applyBorder="1" applyAlignment="1">
      <alignment vertical="top" wrapText="1"/>
    </xf>
    <xf numFmtId="0" fontId="13" fillId="3" borderId="80" xfId="5" applyFont="1" applyFill="1" applyBorder="1" applyAlignment="1">
      <alignment vertical="top" wrapText="1"/>
    </xf>
    <xf numFmtId="0" fontId="1" fillId="0" borderId="22" xfId="5" applyFont="1" applyBorder="1" applyAlignment="1">
      <alignment horizontal="left" vertical="top" wrapText="1"/>
    </xf>
    <xf numFmtId="0" fontId="13" fillId="0" borderId="22" xfId="5" applyFont="1" applyBorder="1" applyAlignment="1">
      <alignment vertical="top" wrapText="1"/>
    </xf>
    <xf numFmtId="0" fontId="1" fillId="0" borderId="22" xfId="5" applyFont="1" applyBorder="1" applyAlignment="1">
      <alignment horizontal="left" vertical="top" wrapText="1"/>
    </xf>
    <xf numFmtId="0" fontId="13" fillId="0" borderId="22" xfId="5" applyFont="1" applyBorder="1" applyAlignment="1">
      <alignment vertical="top" wrapText="1"/>
    </xf>
    <xf numFmtId="0" fontId="1" fillId="0" borderId="22" xfId="5" applyFont="1" applyBorder="1" applyAlignment="1">
      <alignment horizontal="left" vertical="top" wrapText="1"/>
    </xf>
    <xf numFmtId="0" fontId="13" fillId="0" borderId="22" xfId="5" applyFont="1" applyBorder="1" applyAlignment="1">
      <alignment vertical="top" wrapText="1"/>
    </xf>
    <xf numFmtId="0" fontId="1" fillId="0" borderId="22" xfId="5" applyFont="1" applyBorder="1" applyAlignment="1">
      <alignment horizontal="left" vertical="top" wrapText="1"/>
    </xf>
    <xf numFmtId="49" fontId="25" fillId="0" borderId="53" xfId="0" applyNumberFormat="1" applyFont="1" applyBorder="1" applyAlignment="1">
      <alignment horizontal="center" vertical="top" wrapText="1"/>
    </xf>
    <xf numFmtId="0" fontId="1" fillId="0" borderId="22" xfId="0" applyFont="1" applyBorder="1" applyAlignment="1">
      <alignment horizontal="center" vertical="center" wrapText="1"/>
    </xf>
    <xf numFmtId="0" fontId="13" fillId="0" borderId="22" xfId="5" applyFont="1" applyBorder="1" applyAlignment="1">
      <alignment vertical="top" wrapText="1"/>
    </xf>
    <xf numFmtId="0" fontId="1" fillId="0" borderId="22" xfId="5" applyFont="1" applyBorder="1" applyAlignment="1">
      <alignment horizontal="left" vertical="top" wrapText="1"/>
    </xf>
    <xf numFmtId="0" fontId="27" fillId="0" borderId="0" xfId="0" applyFont="1"/>
    <xf numFmtId="0" fontId="1" fillId="0" borderId="22" xfId="0" applyFont="1" applyBorder="1" applyAlignment="1">
      <alignment horizontal="left" vertical="top" wrapText="1"/>
    </xf>
    <xf numFmtId="0" fontId="25" fillId="9" borderId="22" xfId="0" applyFont="1" applyFill="1" applyBorder="1" applyAlignment="1">
      <alignment horizontal="left" vertical="top" wrapText="1"/>
    </xf>
    <xf numFmtId="0" fontId="16" fillId="0" borderId="48" xfId="0" applyFont="1" applyBorder="1" applyAlignment="1">
      <alignment horizontal="left" wrapText="1"/>
    </xf>
    <xf numFmtId="0" fontId="8" fillId="0" borderId="41" xfId="0" applyFont="1" applyBorder="1" applyAlignment="1">
      <alignment horizontal="left" vertical="top" wrapText="1"/>
    </xf>
    <xf numFmtId="0" fontId="8" fillId="0" borderId="27" xfId="0" applyFont="1" applyBorder="1" applyAlignment="1">
      <alignment horizontal="left" vertical="top" wrapText="1"/>
    </xf>
    <xf numFmtId="0" fontId="15" fillId="0" borderId="50" xfId="0" applyFont="1" applyBorder="1" applyAlignment="1">
      <alignment horizontal="left" vertical="top" wrapText="1"/>
    </xf>
    <xf numFmtId="0" fontId="15" fillId="0" borderId="51" xfId="0" applyFont="1" applyBorder="1" applyAlignment="1">
      <alignment horizontal="left" vertical="top" wrapText="1"/>
    </xf>
    <xf numFmtId="0" fontId="18" fillId="0" borderId="41" xfId="0" applyFont="1" applyBorder="1" applyAlignment="1">
      <alignment horizontal="left" vertical="top" wrapText="1"/>
    </xf>
    <xf numFmtId="0" fontId="18" fillId="0" borderId="49" xfId="0" applyFont="1" applyBorder="1" applyAlignment="1">
      <alignment horizontal="left" vertical="top" wrapText="1"/>
    </xf>
    <xf numFmtId="0" fontId="18" fillId="0" borderId="27" xfId="0" applyFont="1" applyBorder="1" applyAlignment="1">
      <alignment horizontal="left" vertical="top" wrapText="1"/>
    </xf>
    <xf numFmtId="49" fontId="25" fillId="0" borderId="53" xfId="0" applyNumberFormat="1" applyFont="1" applyBorder="1" applyAlignment="1">
      <alignment horizontal="center" vertical="top" wrapText="1"/>
    </xf>
    <xf numFmtId="49" fontId="25" fillId="0" borderId="78" xfId="0" applyNumberFormat="1" applyFont="1" applyBorder="1" applyAlignment="1">
      <alignment horizontal="center" vertical="top" wrapText="1"/>
    </xf>
    <xf numFmtId="49" fontId="25" fillId="0" borderId="29" xfId="0" applyNumberFormat="1" applyFont="1" applyBorder="1" applyAlignment="1">
      <alignment horizontal="center" vertical="top" wrapText="1"/>
    </xf>
    <xf numFmtId="49" fontId="25" fillId="0" borderId="53" xfId="0" applyNumberFormat="1" applyFont="1" applyBorder="1" applyAlignment="1">
      <alignment horizontal="center" vertical="center"/>
    </xf>
    <xf numFmtId="49" fontId="25" fillId="0" borderId="78" xfId="0" applyNumberFormat="1" applyFont="1" applyBorder="1" applyAlignment="1">
      <alignment horizontal="center" vertical="center"/>
    </xf>
    <xf numFmtId="49" fontId="25" fillId="0" borderId="29" xfId="0" applyNumberFormat="1" applyFont="1" applyBorder="1" applyAlignment="1">
      <alignment horizontal="center" vertical="center"/>
    </xf>
    <xf numFmtId="0" fontId="1" fillId="0" borderId="53" xfId="0" applyFont="1" applyBorder="1" applyAlignment="1">
      <alignment horizontal="center" vertical="top"/>
    </xf>
    <xf numFmtId="0" fontId="1" fillId="0" borderId="29" xfId="0" applyFont="1" applyBorder="1" applyAlignment="1">
      <alignment horizontal="center" vertical="top"/>
    </xf>
    <xf numFmtId="0" fontId="1" fillId="0" borderId="78" xfId="0" applyFont="1" applyBorder="1" applyAlignment="1">
      <alignment horizontal="center" vertical="top"/>
    </xf>
    <xf numFmtId="0" fontId="1" fillId="0" borderId="22" xfId="0" applyFont="1" applyBorder="1" applyAlignment="1">
      <alignment horizontal="center" vertical="center" wrapText="1"/>
    </xf>
    <xf numFmtId="0" fontId="13" fillId="7" borderId="22" xfId="0" applyFont="1" applyFill="1" applyBorder="1" applyAlignment="1">
      <alignment horizontal="left" vertical="center" wrapText="1"/>
    </xf>
    <xf numFmtId="0" fontId="13" fillId="3" borderId="61" xfId="5" applyFont="1" applyFill="1" applyBorder="1" applyAlignment="1">
      <alignment horizontal="center" vertical="top" wrapText="1"/>
    </xf>
    <xf numFmtId="0" fontId="13" fillId="3" borderId="71" xfId="5" applyFont="1" applyFill="1" applyBorder="1" applyAlignment="1">
      <alignment horizontal="center" vertical="top" wrapText="1"/>
    </xf>
    <xf numFmtId="0" fontId="13" fillId="0" borderId="65" xfId="5" applyFont="1" applyBorder="1" applyAlignment="1">
      <alignment horizontal="center" vertical="top" wrapText="1"/>
    </xf>
    <xf numFmtId="0" fontId="13" fillId="0" borderId="73" xfId="5" applyFont="1" applyBorder="1" applyAlignment="1">
      <alignment horizontal="center" vertical="top" wrapText="1"/>
    </xf>
    <xf numFmtId="0" fontId="20" fillId="0" borderId="48" xfId="5" applyFont="1" applyBorder="1" applyAlignment="1">
      <alignment horizontal="left"/>
    </xf>
    <xf numFmtId="0" fontId="13" fillId="0" borderId="35" xfId="5" applyFont="1" applyBorder="1" applyAlignment="1">
      <alignment horizontal="center" vertical="top" wrapText="1"/>
    </xf>
    <xf numFmtId="0" fontId="13" fillId="0" borderId="36" xfId="5" applyFont="1" applyBorder="1" applyAlignment="1">
      <alignment horizontal="center" vertical="top" wrapText="1"/>
    </xf>
    <xf numFmtId="0" fontId="20" fillId="0" borderId="0" xfId="5" applyFont="1" applyAlignment="1">
      <alignment horizontal="left"/>
    </xf>
    <xf numFmtId="0" fontId="13" fillId="3" borderId="76" xfId="5" applyFont="1" applyFill="1" applyBorder="1" applyAlignment="1">
      <alignment horizontal="center" vertical="top" wrapText="1"/>
    </xf>
    <xf numFmtId="0" fontId="13" fillId="3" borderId="77" xfId="5" applyFont="1" applyFill="1" applyBorder="1" applyAlignment="1">
      <alignment horizontal="center" vertical="top" wrapText="1"/>
    </xf>
    <xf numFmtId="0" fontId="13" fillId="0" borderId="63" xfId="5" applyFont="1" applyBorder="1" applyAlignment="1">
      <alignment horizontal="center" vertical="top" wrapText="1"/>
    </xf>
    <xf numFmtId="0" fontId="13" fillId="0" borderId="72" xfId="5" applyFont="1" applyBorder="1" applyAlignment="1">
      <alignment horizontal="center" vertical="top" wrapText="1"/>
    </xf>
    <xf numFmtId="0" fontId="13" fillId="0" borderId="32" xfId="5" applyFont="1" applyBorder="1" applyAlignment="1">
      <alignment horizontal="center" vertical="top" wrapText="1"/>
    </xf>
    <xf numFmtId="0" fontId="13" fillId="0" borderId="33" xfId="5" applyFont="1" applyBorder="1" applyAlignment="1">
      <alignment horizontal="center" vertical="top" wrapText="1"/>
    </xf>
    <xf numFmtId="0" fontId="13" fillId="2" borderId="58" xfId="5" applyFont="1" applyFill="1" applyBorder="1" applyAlignment="1">
      <alignment horizontal="left" vertical="top" wrapText="1"/>
    </xf>
    <xf numFmtId="0" fontId="13" fillId="2" borderId="28" xfId="5" applyFont="1" applyFill="1" applyBorder="1" applyAlignment="1">
      <alignment horizontal="left" vertical="top" wrapText="1"/>
    </xf>
    <xf numFmtId="0" fontId="13" fillId="0" borderId="24" xfId="5" applyFont="1" applyBorder="1" applyAlignment="1">
      <alignment vertical="top" wrapText="1"/>
    </xf>
    <xf numFmtId="0" fontId="13" fillId="0" borderId="26" xfId="5" applyFont="1" applyBorder="1" applyAlignment="1">
      <alignment vertical="top" wrapText="1"/>
    </xf>
    <xf numFmtId="0" fontId="13" fillId="2" borderId="67" xfId="5" applyFont="1" applyFill="1" applyBorder="1" applyAlignment="1">
      <alignment horizontal="left" vertical="top" wrapText="1"/>
    </xf>
    <xf numFmtId="0" fontId="13" fillId="2" borderId="68" xfId="5" applyFont="1" applyFill="1" applyBorder="1" applyAlignment="1">
      <alignment horizontal="left" vertical="top" wrapText="1"/>
    </xf>
    <xf numFmtId="0" fontId="13" fillId="0" borderId="69" xfId="5" applyFont="1" applyBorder="1" applyAlignment="1">
      <alignment vertical="top" wrapText="1"/>
    </xf>
    <xf numFmtId="0" fontId="13" fillId="0" borderId="70" xfId="5" applyFont="1" applyBorder="1" applyAlignment="1">
      <alignment vertical="top" wrapText="1"/>
    </xf>
    <xf numFmtId="0" fontId="13" fillId="3" borderId="61" xfId="5" applyFont="1" applyFill="1" applyBorder="1" applyAlignment="1">
      <alignment horizontal="left" vertical="top" wrapText="1"/>
    </xf>
    <xf numFmtId="0" fontId="13" fillId="3" borderId="62" xfId="5" applyFont="1" applyFill="1" applyBorder="1" applyAlignment="1">
      <alignment horizontal="left" vertical="top" wrapText="1"/>
    </xf>
    <xf numFmtId="0" fontId="11" fillId="0" borderId="63" xfId="5" applyBorder="1" applyAlignment="1">
      <alignment horizontal="center"/>
    </xf>
    <xf numFmtId="0" fontId="11" fillId="0" borderId="64" xfId="5" applyBorder="1" applyAlignment="1">
      <alignment horizontal="center"/>
    </xf>
    <xf numFmtId="0" fontId="13" fillId="0" borderId="64" xfId="5" applyFont="1" applyBorder="1" applyAlignment="1">
      <alignment horizontal="center" vertical="top" wrapText="1"/>
    </xf>
    <xf numFmtId="0" fontId="13" fillId="0" borderId="66" xfId="5" applyFont="1" applyBorder="1" applyAlignment="1">
      <alignment horizontal="center" vertical="top" wrapText="1"/>
    </xf>
    <xf numFmtId="0" fontId="13" fillId="3" borderId="39" xfId="5" applyFont="1" applyFill="1" applyBorder="1" applyAlignment="1">
      <alignment horizontal="center" vertical="top" wrapText="1"/>
    </xf>
    <xf numFmtId="0" fontId="13" fillId="3" borderId="40" xfId="5" applyFont="1" applyFill="1" applyBorder="1" applyAlignment="1">
      <alignment horizontal="center" vertical="top" wrapText="1"/>
    </xf>
    <xf numFmtId="0" fontId="13" fillId="2" borderId="52" xfId="5" applyFont="1" applyFill="1" applyBorder="1" applyAlignment="1">
      <alignment horizontal="left" vertical="top" wrapText="1"/>
    </xf>
    <xf numFmtId="0" fontId="13" fillId="2" borderId="27" xfId="5" applyFont="1" applyFill="1" applyBorder="1" applyAlignment="1">
      <alignment horizontal="left" vertical="top" wrapText="1"/>
    </xf>
    <xf numFmtId="0" fontId="13" fillId="4" borderId="22" xfId="5" applyFont="1" applyFill="1" applyBorder="1" applyAlignment="1">
      <alignment vertical="top" wrapText="1"/>
    </xf>
    <xf numFmtId="0" fontId="13" fillId="4" borderId="25" xfId="5" applyFont="1" applyFill="1" applyBorder="1" applyAlignment="1">
      <alignment vertical="top" wrapText="1"/>
    </xf>
    <xf numFmtId="164" fontId="13" fillId="2" borderId="52" xfId="6" applyFont="1" applyFill="1" applyBorder="1" applyAlignment="1">
      <alignment horizontal="left" vertical="top" wrapText="1"/>
    </xf>
    <xf numFmtId="164" fontId="13" fillId="2" borderId="27" xfId="6" applyFont="1" applyFill="1" applyBorder="1" applyAlignment="1">
      <alignment horizontal="left" vertical="top" wrapText="1"/>
    </xf>
    <xf numFmtId="0" fontId="13" fillId="6" borderId="41" xfId="5" applyFont="1" applyFill="1" applyBorder="1" applyAlignment="1">
      <alignment vertical="top" wrapText="1"/>
    </xf>
    <xf numFmtId="0" fontId="13" fillId="6" borderId="49" xfId="5" applyFont="1" applyFill="1" applyBorder="1" applyAlignment="1">
      <alignment vertical="top" wrapText="1"/>
    </xf>
    <xf numFmtId="0" fontId="13" fillId="6" borderId="55" xfId="5" applyFont="1" applyFill="1" applyBorder="1" applyAlignment="1">
      <alignment vertical="top" wrapText="1"/>
    </xf>
    <xf numFmtId="0" fontId="13" fillId="0" borderId="22" xfId="5" applyFont="1" applyBorder="1" applyAlignment="1">
      <alignment vertical="top" wrapText="1"/>
    </xf>
    <xf numFmtId="0" fontId="13" fillId="0" borderId="25" xfId="5" applyFont="1" applyBorder="1" applyAlignment="1">
      <alignment vertical="top" wrapText="1"/>
    </xf>
    <xf numFmtId="0" fontId="13" fillId="2" borderId="22" xfId="5" applyFont="1" applyFill="1" applyBorder="1" applyAlignment="1">
      <alignment horizontal="left" vertical="top" wrapText="1"/>
    </xf>
    <xf numFmtId="0" fontId="13" fillId="2" borderId="25" xfId="5" applyFont="1" applyFill="1" applyBorder="1" applyAlignment="1">
      <alignment horizontal="left" vertical="top" wrapText="1"/>
    </xf>
    <xf numFmtId="0" fontId="13" fillId="2" borderId="56" xfId="5" applyFont="1" applyFill="1" applyBorder="1" applyAlignment="1">
      <alignment horizontal="left" vertical="top" wrapText="1"/>
    </xf>
    <xf numFmtId="0" fontId="13" fillId="2" borderId="12" xfId="5" applyFont="1" applyFill="1" applyBorder="1" applyAlignment="1">
      <alignment horizontal="left" vertical="top" wrapText="1"/>
    </xf>
    <xf numFmtId="0" fontId="13" fillId="0" borderId="53" xfId="5" applyFont="1" applyBorder="1" applyAlignment="1">
      <alignment vertical="top" wrapText="1"/>
    </xf>
    <xf numFmtId="0" fontId="13" fillId="0" borderId="54" xfId="5" applyFont="1" applyBorder="1" applyAlignment="1">
      <alignment vertical="top" wrapText="1"/>
    </xf>
    <xf numFmtId="165" fontId="13" fillId="0" borderId="22" xfId="5" applyNumberFormat="1" applyFont="1" applyBorder="1" applyAlignment="1">
      <alignment vertical="top" wrapText="1"/>
    </xf>
    <xf numFmtId="165" fontId="13" fillId="0" borderId="25" xfId="5" applyNumberFormat="1" applyFont="1" applyBorder="1" applyAlignment="1">
      <alignment vertical="top" wrapText="1"/>
    </xf>
    <xf numFmtId="0" fontId="13" fillId="0" borderId="41" xfId="5" applyFont="1" applyBorder="1" applyAlignment="1">
      <alignment horizontal="left" vertical="top" wrapText="1"/>
    </xf>
    <xf numFmtId="0" fontId="13" fillId="0" borderId="49" xfId="5" applyFont="1" applyBorder="1" applyAlignment="1">
      <alignment horizontal="left" vertical="top" wrapText="1"/>
    </xf>
    <xf numFmtId="0" fontId="13" fillId="0" borderId="55" xfId="5" applyFont="1" applyBorder="1" applyAlignment="1">
      <alignment horizontal="left" vertical="top" wrapText="1"/>
    </xf>
    <xf numFmtId="0" fontId="13" fillId="0" borderId="22" xfId="5" applyFont="1" applyBorder="1" applyAlignment="1">
      <alignment horizontal="left" vertical="top" wrapText="1"/>
    </xf>
    <xf numFmtId="0" fontId="13" fillId="0" borderId="25" xfId="5" applyFont="1" applyBorder="1" applyAlignment="1">
      <alignment horizontal="left" vertical="top" wrapText="1"/>
    </xf>
    <xf numFmtId="0" fontId="13" fillId="0" borderId="24" xfId="5" applyFont="1" applyBorder="1" applyAlignment="1">
      <alignment horizontal="left" vertical="top" wrapText="1"/>
    </xf>
    <xf numFmtId="0" fontId="13" fillId="0" borderId="26" xfId="5" applyFont="1" applyBorder="1" applyAlignment="1">
      <alignment horizontal="left" vertical="top" wrapText="1"/>
    </xf>
    <xf numFmtId="0" fontId="13" fillId="2" borderId="59" xfId="5" applyFont="1" applyFill="1" applyBorder="1" applyAlignment="1">
      <alignment horizontal="left" vertical="top" wrapText="1"/>
    </xf>
    <xf numFmtId="0" fontId="13" fillId="2" borderId="60" xfId="5" applyFont="1" applyFill="1" applyBorder="1" applyAlignment="1">
      <alignment horizontal="left" vertical="top" wrapText="1"/>
    </xf>
    <xf numFmtId="0" fontId="13" fillId="0" borderId="2" xfId="5" applyFont="1" applyBorder="1" applyAlignment="1">
      <alignment vertical="top" wrapText="1"/>
    </xf>
    <xf numFmtId="0" fontId="13" fillId="0" borderId="3" xfId="5" applyFont="1" applyBorder="1" applyAlignment="1">
      <alignment vertical="top" wrapText="1"/>
    </xf>
    <xf numFmtId="0" fontId="13" fillId="0" borderId="53" xfId="5" applyFont="1" applyBorder="1" applyAlignment="1">
      <alignment horizontal="center" vertical="top" wrapText="1"/>
    </xf>
    <xf numFmtId="0" fontId="13" fillId="0" borderId="54" xfId="5" applyFont="1" applyBorder="1" applyAlignment="1">
      <alignment horizontal="center" vertical="top" wrapText="1"/>
    </xf>
    <xf numFmtId="0" fontId="13" fillId="2" borderId="57" xfId="5" applyFont="1" applyFill="1" applyBorder="1" applyAlignment="1">
      <alignment horizontal="left" vertical="top" wrapText="1"/>
    </xf>
    <xf numFmtId="0" fontId="13" fillId="2" borderId="18" xfId="5" applyFont="1" applyFill="1" applyBorder="1" applyAlignment="1">
      <alignment horizontal="left" vertical="top" wrapText="1"/>
    </xf>
    <xf numFmtId="0" fontId="13" fillId="0" borderId="29" xfId="5" applyFont="1" applyBorder="1" applyAlignment="1">
      <alignment horizontal="left" vertical="top" wrapText="1"/>
    </xf>
    <xf numFmtId="0" fontId="13" fillId="0" borderId="30" xfId="5" applyFont="1" applyBorder="1" applyAlignment="1">
      <alignment horizontal="left" vertical="top" wrapText="1"/>
    </xf>
    <xf numFmtId="0" fontId="13" fillId="0" borderId="22" xfId="5" applyFont="1" applyBorder="1" applyAlignment="1">
      <alignment horizontal="center" vertical="top" wrapText="1"/>
    </xf>
    <xf numFmtId="0" fontId="13" fillId="0" borderId="25" xfId="5" applyFont="1" applyBorder="1" applyAlignment="1">
      <alignment horizontal="center" vertical="top" wrapText="1"/>
    </xf>
    <xf numFmtId="0" fontId="13" fillId="4" borderId="53" xfId="5" quotePrefix="1" applyFont="1" applyFill="1" applyBorder="1" applyAlignment="1">
      <alignment horizontal="left" vertical="top" wrapText="1"/>
    </xf>
    <xf numFmtId="0" fontId="13" fillId="4" borderId="53" xfId="5" applyFont="1" applyFill="1" applyBorder="1" applyAlignment="1">
      <alignment horizontal="left" vertical="top" wrapText="1"/>
    </xf>
    <xf numFmtId="0" fontId="13" fillId="4" borderId="54" xfId="5" applyFont="1" applyFill="1" applyBorder="1" applyAlignment="1">
      <alignment horizontal="left" vertical="top" wrapText="1"/>
    </xf>
    <xf numFmtId="0" fontId="13" fillId="0" borderId="53" xfId="5" applyFont="1" applyBorder="1" applyAlignment="1">
      <alignment horizontal="left" vertical="top" wrapText="1"/>
    </xf>
    <xf numFmtId="0" fontId="13" fillId="0" borderId="54" xfId="5" applyFont="1" applyBorder="1" applyAlignment="1">
      <alignment horizontal="left" vertical="top" wrapText="1"/>
    </xf>
    <xf numFmtId="0" fontId="1" fillId="0" borderId="41" xfId="0" applyFont="1" applyFill="1" applyBorder="1" applyAlignment="1">
      <alignment wrapText="1"/>
    </xf>
    <xf numFmtId="0" fontId="1" fillId="0" borderId="49" xfId="0" applyFont="1" applyFill="1" applyBorder="1" applyAlignment="1">
      <alignment wrapText="1"/>
    </xf>
    <xf numFmtId="0" fontId="1" fillId="0" borderId="55" xfId="0" applyFont="1" applyFill="1" applyBorder="1" applyAlignment="1">
      <alignment wrapText="1"/>
    </xf>
    <xf numFmtId="0" fontId="2" fillId="0" borderId="41" xfId="1" applyFill="1" applyBorder="1" applyAlignment="1" applyProtection="1">
      <alignment wrapText="1"/>
    </xf>
    <xf numFmtId="0" fontId="2" fillId="0" borderId="49" xfId="1" applyFill="1" applyBorder="1" applyAlignment="1" applyProtection="1">
      <alignment wrapText="1"/>
    </xf>
    <xf numFmtId="0" fontId="2" fillId="0" borderId="55" xfId="1" applyFill="1" applyBorder="1" applyAlignment="1" applyProtection="1">
      <alignment wrapText="1"/>
    </xf>
    <xf numFmtId="165" fontId="13" fillId="0" borderId="22" xfId="5" applyNumberFormat="1" applyFont="1" applyBorder="1" applyAlignment="1">
      <alignment horizontal="left" vertical="top" wrapText="1"/>
    </xf>
    <xf numFmtId="165" fontId="13" fillId="0" borderId="25" xfId="5" applyNumberFormat="1" applyFont="1" applyBorder="1" applyAlignment="1">
      <alignment horizontal="left" vertical="top" wrapText="1"/>
    </xf>
    <xf numFmtId="0" fontId="1" fillId="0" borderId="32" xfId="5" applyFont="1" applyBorder="1" applyAlignment="1">
      <alignment horizontal="left" vertical="top" wrapText="1"/>
    </xf>
    <xf numFmtId="0" fontId="1" fillId="0" borderId="33" xfId="5" applyFont="1" applyBorder="1" applyAlignment="1">
      <alignment horizontal="left" vertical="top" wrapText="1"/>
    </xf>
    <xf numFmtId="10" fontId="13" fillId="0" borderId="24" xfId="5" applyNumberFormat="1" applyFont="1" applyBorder="1" applyAlignment="1">
      <alignment vertical="top" wrapText="1"/>
    </xf>
    <xf numFmtId="0" fontId="2" fillId="0" borderId="41" xfId="1" applyFill="1" applyBorder="1" applyAlignment="1" applyProtection="1">
      <alignment vertical="top" wrapText="1"/>
    </xf>
    <xf numFmtId="0" fontId="2" fillId="0" borderId="49" xfId="1" applyFill="1" applyBorder="1" applyAlignment="1" applyProtection="1">
      <alignment vertical="top" wrapText="1"/>
    </xf>
    <xf numFmtId="0" fontId="2" fillId="0" borderId="55" xfId="1" applyFill="1" applyBorder="1" applyAlignment="1" applyProtection="1">
      <alignment vertical="top" wrapText="1"/>
    </xf>
    <xf numFmtId="0" fontId="1" fillId="0" borderId="22" xfId="5" applyFont="1" applyBorder="1" applyAlignment="1">
      <alignment horizontal="left" vertical="top" wrapText="1"/>
    </xf>
    <xf numFmtId="0" fontId="1" fillId="0" borderId="22" xfId="5" applyFont="1" applyBorder="1" applyAlignment="1">
      <alignment horizontal="center" vertical="top" wrapText="1"/>
    </xf>
    <xf numFmtId="0" fontId="13" fillId="3" borderId="80" xfId="5" applyFont="1" applyFill="1" applyBorder="1" applyAlignment="1">
      <alignment horizontal="center" vertical="top" wrapText="1"/>
    </xf>
    <xf numFmtId="0" fontId="13" fillId="3" borderId="81" xfId="5" applyFont="1" applyFill="1" applyBorder="1" applyAlignment="1">
      <alignment horizontal="center" vertical="top" wrapText="1"/>
    </xf>
    <xf numFmtId="49" fontId="25" fillId="9" borderId="22" xfId="0" applyNumberFormat="1" applyFont="1" applyFill="1" applyBorder="1" applyAlignment="1" applyProtection="1">
      <alignment horizontal="left" vertical="top"/>
      <protection locked="0"/>
    </xf>
    <xf numFmtId="49" fontId="25" fillId="9" borderId="22" xfId="0" applyNumberFormat="1" applyFont="1" applyFill="1" applyBorder="1" applyAlignment="1">
      <alignment horizontal="left" vertical="top" wrapText="1"/>
    </xf>
  </cellXfs>
  <cellStyles count="7">
    <cellStyle name="Hyperlink" xfId="1" builtinId="8"/>
    <cellStyle name="Normal" xfId="0" builtinId="0"/>
    <cellStyle name="Standard_BMS_nnn_project" xfId="2" xr:uid="{00000000-0005-0000-0000-000002000000}"/>
    <cellStyle name="Standard_PSR_Project_Status_Report_V3_0_internal_draft" xfId="3" xr:uid="{00000000-0005-0000-0000-000003000000}"/>
    <cellStyle name="Standard_SMK_PDMK_EXCEL_TEMPLATE" xfId="4" xr:uid="{00000000-0005-0000-0000-000004000000}"/>
    <cellStyle name="Standard_Testspec_template" xfId="5" xr:uid="{00000000-0005-0000-0000-000005000000}"/>
    <cellStyle name="Währung_Testspec_template" xfId="6" xr:uid="{00000000-0005-0000-0000-000006000000}"/>
  </cellStyles>
  <dxfs count="27">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6.png"/><Relationship Id="rId4" Type="http://schemas.openxmlformats.org/officeDocument/2006/relationships/image" Target="../media/image1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20.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21.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2.emf"/><Relationship Id="rId1" Type="http://schemas.openxmlformats.org/officeDocument/2006/relationships/image" Target="../media/image2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43</xdr:row>
      <xdr:rowOff>79098</xdr:rowOff>
    </xdr:from>
    <xdr:to>
      <xdr:col>1</xdr:col>
      <xdr:colOff>1342727</xdr:colOff>
      <xdr:row>47</xdr:row>
      <xdr:rowOff>92326</xdr:rowOff>
    </xdr:to>
    <xdr:pic>
      <xdr:nvPicPr>
        <xdr:cNvPr id="9226" name="Picture 1034" descr="conti_wmf_sw_uv">
          <a:extLst>
            <a:ext uri="{FF2B5EF4-FFF2-40B4-BE49-F238E27FC236}">
              <a16:creationId xmlns:a16="http://schemas.microsoft.com/office/drawing/2014/main" id="{00000000-0008-0000-0000-00000A240000}"/>
            </a:ext>
          </a:extLst>
        </xdr:cNvPr>
        <xdr:cNvPicPr>
          <a:picLocks noChangeAspect="1" noChangeArrowheads="1"/>
        </xdr:cNvPicPr>
      </xdr:nvPicPr>
      <xdr:blipFill>
        <a:blip xmlns:r="http://schemas.openxmlformats.org/officeDocument/2006/relationships" r:embed="rId1" cstate="print"/>
        <a:stretch>
          <a:fillRect/>
        </a:stretch>
      </xdr:blipFill>
      <xdr:spPr bwMode="auto">
        <a:xfrm>
          <a:off x="0" y="7752107"/>
          <a:ext cx="2070327" cy="661591"/>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139700</xdr:colOff>
          <xdr:row>0</xdr:row>
          <xdr:rowOff>0</xdr:rowOff>
        </xdr:from>
        <xdr:to>
          <xdr:col>13</xdr:col>
          <xdr:colOff>412750</xdr:colOff>
          <xdr:row>1</xdr:row>
          <xdr:rowOff>114300</xdr:rowOff>
        </xdr:to>
        <xdr:sp macro="" textlink="">
          <xdr:nvSpPr>
            <xdr:cNvPr id="31753" name="CommandButton1" hidden="1">
              <a:extLst>
                <a:ext uri="{63B3BB69-23CF-44E3-9099-C40C66FF867C}">
                  <a14:compatExt spid="_x0000_s31753"/>
                </a:ext>
                <a:ext uri="{FF2B5EF4-FFF2-40B4-BE49-F238E27FC236}">
                  <a16:creationId xmlns:a16="http://schemas.microsoft.com/office/drawing/2014/main" id="{00000000-0008-0000-0300-00000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406400</xdr:colOff>
          <xdr:row>1</xdr:row>
          <xdr:rowOff>76200</xdr:rowOff>
        </xdr:from>
        <xdr:to>
          <xdr:col>8</xdr:col>
          <xdr:colOff>603250</xdr:colOff>
          <xdr:row>3</xdr:row>
          <xdr:rowOff>158750</xdr:rowOff>
        </xdr:to>
        <xdr:sp macro="" textlink="">
          <xdr:nvSpPr>
            <xdr:cNvPr id="58369" name="CommandButton1" hidden="1">
              <a:extLst>
                <a:ext uri="{63B3BB69-23CF-44E3-9099-C40C66FF867C}">
                  <a14:compatExt spid="_x0000_s58369"/>
                </a:ext>
                <a:ext uri="{FF2B5EF4-FFF2-40B4-BE49-F238E27FC236}">
                  <a16:creationId xmlns:a16="http://schemas.microsoft.com/office/drawing/2014/main" id="{00000000-0008-0000-06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869151</xdr:colOff>
      <xdr:row>37</xdr:row>
      <xdr:rowOff>716846</xdr:rowOff>
    </xdr:from>
    <xdr:to>
      <xdr:col>4</xdr:col>
      <xdr:colOff>1285006</xdr:colOff>
      <xdr:row>37</xdr:row>
      <xdr:rowOff>2908812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5077" y="17160994"/>
          <a:ext cx="3477072" cy="21881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76200</xdr:colOff>
          <xdr:row>4</xdr:row>
          <xdr:rowOff>88900</xdr:rowOff>
        </xdr:from>
        <xdr:to>
          <xdr:col>6</xdr:col>
          <xdr:colOff>914400</xdr:colOff>
          <xdr:row>4</xdr:row>
          <xdr:rowOff>723900</xdr:rowOff>
        </xdr:to>
        <xdr:sp macro="" textlink="">
          <xdr:nvSpPr>
            <xdr:cNvPr id="58394" name="Object 26" hidden="1">
              <a:extLst>
                <a:ext uri="{63B3BB69-23CF-44E3-9099-C40C66FF867C}">
                  <a14:compatExt spid="_x0000_s58394"/>
                </a:ext>
                <a:ext uri="{FF2B5EF4-FFF2-40B4-BE49-F238E27FC236}">
                  <a16:creationId xmlns:a16="http://schemas.microsoft.com/office/drawing/2014/main" id="{00000000-0008-0000-0600-00001AE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584200</xdr:colOff>
          <xdr:row>4</xdr:row>
          <xdr:rowOff>1035050</xdr:rowOff>
        </xdr:from>
        <xdr:to>
          <xdr:col>7</xdr:col>
          <xdr:colOff>254000</xdr:colOff>
          <xdr:row>4</xdr:row>
          <xdr:rowOff>1555750</xdr:rowOff>
        </xdr:to>
        <xdr:sp macro="" textlink="">
          <xdr:nvSpPr>
            <xdr:cNvPr id="58395" name="Object 27" hidden="1">
              <a:extLst>
                <a:ext uri="{63B3BB69-23CF-44E3-9099-C40C66FF867C}">
                  <a14:compatExt spid="_x0000_s58395"/>
                </a:ext>
                <a:ext uri="{FF2B5EF4-FFF2-40B4-BE49-F238E27FC236}">
                  <a16:creationId xmlns:a16="http://schemas.microsoft.com/office/drawing/2014/main" id="{00000000-0008-0000-0600-00001BE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406400</xdr:colOff>
          <xdr:row>1</xdr:row>
          <xdr:rowOff>76200</xdr:rowOff>
        </xdr:from>
        <xdr:to>
          <xdr:col>8</xdr:col>
          <xdr:colOff>571500</xdr:colOff>
          <xdr:row>3</xdr:row>
          <xdr:rowOff>152400</xdr:rowOff>
        </xdr:to>
        <xdr:sp macro="" textlink="">
          <xdr:nvSpPr>
            <xdr:cNvPr id="51201" name="CommandButton1"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406400</xdr:colOff>
          <xdr:row>1</xdr:row>
          <xdr:rowOff>76200</xdr:rowOff>
        </xdr:from>
        <xdr:to>
          <xdr:col>8</xdr:col>
          <xdr:colOff>565150</xdr:colOff>
          <xdr:row>3</xdr:row>
          <xdr:rowOff>152400</xdr:rowOff>
        </xdr:to>
        <xdr:sp macro="" textlink="">
          <xdr:nvSpPr>
            <xdr:cNvPr id="65537" name="CommandButton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869151</xdr:colOff>
      <xdr:row>37</xdr:row>
      <xdr:rowOff>716846</xdr:rowOff>
    </xdr:from>
    <xdr:to>
      <xdr:col>4</xdr:col>
      <xdr:colOff>1279291</xdr:colOff>
      <xdr:row>37</xdr:row>
      <xdr:rowOff>2916432</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22791" y="17198906"/>
          <a:ext cx="3471475" cy="2191966"/>
        </a:xfrm>
        <a:prstGeom prst="rect">
          <a:avLst/>
        </a:prstGeom>
      </xdr:spPr>
    </xdr:pic>
    <xdr:clientData/>
  </xdr:twoCellAnchor>
  <xdr:twoCellAnchor editAs="oneCell">
    <xdr:from>
      <xdr:col>2</xdr:col>
      <xdr:colOff>65405</xdr:colOff>
      <xdr:row>38</xdr:row>
      <xdr:rowOff>341911</xdr:rowOff>
    </xdr:from>
    <xdr:to>
      <xdr:col>4</xdr:col>
      <xdr:colOff>1755669</xdr:colOff>
      <xdr:row>38</xdr:row>
      <xdr:rowOff>2536661</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11331" y="19968115"/>
          <a:ext cx="4735912" cy="2194750"/>
        </a:xfrm>
        <a:prstGeom prst="rect">
          <a:avLst/>
        </a:prstGeom>
      </xdr:spPr>
    </xdr:pic>
    <xdr:clientData/>
  </xdr:twoCellAnchor>
  <xdr:twoCellAnchor editAs="oneCell">
    <xdr:from>
      <xdr:col>2</xdr:col>
      <xdr:colOff>66746</xdr:colOff>
      <xdr:row>39</xdr:row>
      <xdr:rowOff>1420636</xdr:rowOff>
    </xdr:from>
    <xdr:to>
      <xdr:col>4</xdr:col>
      <xdr:colOff>4668426</xdr:colOff>
      <xdr:row>39</xdr:row>
      <xdr:rowOff>4937219</xdr:rowOff>
    </xdr:to>
    <xdr:pic>
      <xdr:nvPicPr>
        <xdr:cNvPr id="10" name="Pictur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12672" y="26244432"/>
          <a:ext cx="7639708" cy="3516583"/>
        </a:xfrm>
        <a:prstGeom prst="rect">
          <a:avLst/>
        </a:prstGeom>
      </xdr:spPr>
    </xdr:pic>
    <xdr:clientData/>
  </xdr:twoCellAnchor>
  <xdr:twoCellAnchor editAs="oneCell">
    <xdr:from>
      <xdr:col>2</xdr:col>
      <xdr:colOff>61642</xdr:colOff>
      <xdr:row>38</xdr:row>
      <xdr:rowOff>2635015</xdr:rowOff>
    </xdr:from>
    <xdr:to>
      <xdr:col>4</xdr:col>
      <xdr:colOff>2841430</xdr:colOff>
      <xdr:row>39</xdr:row>
      <xdr:rowOff>1279856</xdr:rowOff>
    </xdr:to>
    <xdr:pic>
      <xdr:nvPicPr>
        <xdr:cNvPr id="12" name="Picture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507568" y="22261219"/>
          <a:ext cx="5831151" cy="384814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6350</xdr:colOff>
          <xdr:row>4</xdr:row>
          <xdr:rowOff>0</xdr:rowOff>
        </xdr:from>
        <xdr:to>
          <xdr:col>7</xdr:col>
          <xdr:colOff>6350</xdr:colOff>
          <xdr:row>4</xdr:row>
          <xdr:rowOff>730250</xdr:rowOff>
        </xdr:to>
        <xdr:sp macro="" textlink="">
          <xdr:nvSpPr>
            <xdr:cNvPr id="65566" name="Object 30" hidden="1">
              <a:extLst>
                <a:ext uri="{63B3BB69-23CF-44E3-9099-C40C66FF867C}">
                  <a14:compatExt spid="_x0000_s65566"/>
                </a:ext>
                <a:ext uri="{FF2B5EF4-FFF2-40B4-BE49-F238E27FC236}">
                  <a16:creationId xmlns:a16="http://schemas.microsoft.com/office/drawing/2014/main" id="{00000000-0008-0000-0800-00001E00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12700</xdr:colOff>
          <xdr:row>4</xdr:row>
          <xdr:rowOff>1054100</xdr:rowOff>
        </xdr:from>
        <xdr:to>
          <xdr:col>8</xdr:col>
          <xdr:colOff>0</xdr:colOff>
          <xdr:row>4</xdr:row>
          <xdr:rowOff>1739900</xdr:rowOff>
        </xdr:to>
        <xdr:sp macro="" textlink="">
          <xdr:nvSpPr>
            <xdr:cNvPr id="65567" name="Object 31" hidden="1">
              <a:extLst>
                <a:ext uri="{63B3BB69-23CF-44E3-9099-C40C66FF867C}">
                  <a14:compatExt spid="_x0000_s65567"/>
                </a:ext>
                <a:ext uri="{FF2B5EF4-FFF2-40B4-BE49-F238E27FC236}">
                  <a16:creationId xmlns:a16="http://schemas.microsoft.com/office/drawing/2014/main" id="{00000000-0008-0000-0800-00001F00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406400</xdr:colOff>
          <xdr:row>1</xdr:row>
          <xdr:rowOff>76200</xdr:rowOff>
        </xdr:from>
        <xdr:to>
          <xdr:col>8</xdr:col>
          <xdr:colOff>565150</xdr:colOff>
          <xdr:row>3</xdr:row>
          <xdr:rowOff>152400</xdr:rowOff>
        </xdr:to>
        <xdr:sp macro="" textlink="">
          <xdr:nvSpPr>
            <xdr:cNvPr id="71681" name="CommandButton1" hidden="1">
              <a:extLst>
                <a:ext uri="{63B3BB69-23CF-44E3-9099-C40C66FF867C}">
                  <a14:compatExt spid="_x0000_s71681"/>
                </a:ext>
                <a:ext uri="{FF2B5EF4-FFF2-40B4-BE49-F238E27FC236}">
                  <a16:creationId xmlns:a16="http://schemas.microsoft.com/office/drawing/2014/main" id="{00000000-0008-0000-09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869151</xdr:colOff>
      <xdr:row>37</xdr:row>
      <xdr:rowOff>716846</xdr:rowOff>
    </xdr:from>
    <xdr:to>
      <xdr:col>4</xdr:col>
      <xdr:colOff>1279291</xdr:colOff>
      <xdr:row>37</xdr:row>
      <xdr:rowOff>2916432</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22791" y="17198906"/>
          <a:ext cx="3465760" cy="2199586"/>
        </a:xfrm>
        <a:prstGeom prst="rect">
          <a:avLst/>
        </a:prstGeom>
      </xdr:spPr>
    </xdr:pic>
    <xdr:clientData/>
  </xdr:twoCellAnchor>
  <xdr:twoCellAnchor editAs="oneCell">
    <xdr:from>
      <xdr:col>2</xdr:col>
      <xdr:colOff>479779</xdr:colOff>
      <xdr:row>38</xdr:row>
      <xdr:rowOff>641727</xdr:rowOff>
    </xdr:from>
    <xdr:to>
      <xdr:col>4</xdr:col>
      <xdr:colOff>2831630</xdr:colOff>
      <xdr:row>38</xdr:row>
      <xdr:rowOff>2807305</xdr:rowOff>
    </xdr:to>
    <xdr:pic>
      <xdr:nvPicPr>
        <xdr:cNvPr id="7" name="Pictur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2"/>
        <a:stretch>
          <a:fillRect/>
        </a:stretch>
      </xdr:blipFill>
      <xdr:spPr>
        <a:xfrm>
          <a:off x="2925705" y="20237357"/>
          <a:ext cx="5409258" cy="2165578"/>
        </a:xfrm>
        <a:prstGeom prst="rect">
          <a:avLst/>
        </a:prstGeom>
      </xdr:spPr>
    </xdr:pic>
    <xdr:clientData/>
  </xdr:twoCellAnchor>
  <xdr:twoCellAnchor>
    <xdr:from>
      <xdr:col>6</xdr:col>
      <xdr:colOff>47038</xdr:colOff>
      <xdr:row>4</xdr:row>
      <xdr:rowOff>1128889</xdr:rowOff>
    </xdr:from>
    <xdr:to>
      <xdr:col>7</xdr:col>
      <xdr:colOff>849643</xdr:colOff>
      <xdr:row>4</xdr:row>
      <xdr:rowOff>1702742</xdr:rowOff>
    </xdr:to>
    <xdr:sp macro="" textlink="">
      <xdr:nvSpPr>
        <xdr:cNvPr id="71702" name="Object 22" hidden="1">
          <a:extLst>
            <a:ext uri="{63B3BB69-23CF-44E3-9099-C40C66FF867C}">
              <a14:compatExt xmlns:a14="http://schemas.microsoft.com/office/drawing/2010/main" spid="_x0000_s71702"/>
            </a:ext>
            <a:ext uri="{FF2B5EF4-FFF2-40B4-BE49-F238E27FC236}">
              <a16:creationId xmlns:a16="http://schemas.microsoft.com/office/drawing/2014/main" id="{00000000-0008-0000-0900-0000161801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xdr:from>
          <xdr:col>6</xdr:col>
          <xdr:colOff>12700</xdr:colOff>
          <xdr:row>5</xdr:row>
          <xdr:rowOff>31750</xdr:rowOff>
        </xdr:from>
        <xdr:to>
          <xdr:col>8</xdr:col>
          <xdr:colOff>850900</xdr:colOff>
          <xdr:row>6</xdr:row>
          <xdr:rowOff>603250</xdr:rowOff>
        </xdr:to>
        <xdr:sp macro="" textlink="">
          <xdr:nvSpPr>
            <xdr:cNvPr id="3" name="Object 22" hidden="1">
              <a:extLst>
                <a:ext uri="{63B3BB69-23CF-44E3-9099-C40C66FF867C}">
                  <a14:compatExt spid="_x0000_s71702"/>
                </a:ext>
                <a:ext uri="{FF2B5EF4-FFF2-40B4-BE49-F238E27FC236}">
                  <a16:creationId xmlns:a16="http://schemas.microsoft.com/office/drawing/2014/main" id="{00000000-0008-0000-0900-0000030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4</xdr:row>
          <xdr:rowOff>558800</xdr:rowOff>
        </xdr:from>
        <xdr:to>
          <xdr:col>7</xdr:col>
          <xdr:colOff>12700</xdr:colOff>
          <xdr:row>4</xdr:row>
          <xdr:rowOff>1289050</xdr:rowOff>
        </xdr:to>
        <xdr:sp macro="" textlink="">
          <xdr:nvSpPr>
            <xdr:cNvPr id="71703" name="Object 23" hidden="1">
              <a:extLst>
                <a:ext uri="{63B3BB69-23CF-44E3-9099-C40C66FF867C}">
                  <a14:compatExt spid="_x0000_s71703"/>
                </a:ext>
                <a:ext uri="{FF2B5EF4-FFF2-40B4-BE49-F238E27FC236}">
                  <a16:creationId xmlns:a16="http://schemas.microsoft.com/office/drawing/2014/main" id="{00000000-0008-0000-0900-00001718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406400</xdr:colOff>
          <xdr:row>1</xdr:row>
          <xdr:rowOff>76200</xdr:rowOff>
        </xdr:from>
        <xdr:to>
          <xdr:col>8</xdr:col>
          <xdr:colOff>565150</xdr:colOff>
          <xdr:row>3</xdr:row>
          <xdr:rowOff>152400</xdr:rowOff>
        </xdr:to>
        <xdr:sp macro="" textlink="">
          <xdr:nvSpPr>
            <xdr:cNvPr id="77825" name="CommandButton1" hidden="1">
              <a:extLst>
                <a:ext uri="{63B3BB69-23CF-44E3-9099-C40C66FF867C}">
                  <a14:compatExt spid="_x0000_s77825"/>
                </a:ext>
                <a:ext uri="{FF2B5EF4-FFF2-40B4-BE49-F238E27FC236}">
                  <a16:creationId xmlns:a16="http://schemas.microsoft.com/office/drawing/2014/main" id="{00000000-0008-0000-0A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869151</xdr:colOff>
      <xdr:row>37</xdr:row>
      <xdr:rowOff>716846</xdr:rowOff>
    </xdr:from>
    <xdr:to>
      <xdr:col>4</xdr:col>
      <xdr:colOff>1279291</xdr:colOff>
      <xdr:row>37</xdr:row>
      <xdr:rowOff>2916432</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22791" y="17198906"/>
          <a:ext cx="3465760" cy="2199586"/>
        </a:xfrm>
        <a:prstGeom prst="rect">
          <a:avLst/>
        </a:prstGeom>
      </xdr:spPr>
    </xdr:pic>
    <xdr:clientData/>
  </xdr:twoCellAnchor>
  <xdr:twoCellAnchor editAs="oneCell">
    <xdr:from>
      <xdr:col>2</xdr:col>
      <xdr:colOff>479779</xdr:colOff>
      <xdr:row>38</xdr:row>
      <xdr:rowOff>641727</xdr:rowOff>
    </xdr:from>
    <xdr:to>
      <xdr:col>4</xdr:col>
      <xdr:colOff>2831630</xdr:colOff>
      <xdr:row>38</xdr:row>
      <xdr:rowOff>2807305</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933419" y="20270847"/>
          <a:ext cx="5407471" cy="2165578"/>
        </a:xfrm>
        <a:prstGeom prst="rect">
          <a:avLst/>
        </a:prstGeom>
      </xdr:spPr>
    </xdr:pic>
    <xdr:clientData/>
  </xdr:twoCellAnchor>
  <xdr:twoCellAnchor>
    <xdr:from>
      <xdr:col>6</xdr:col>
      <xdr:colOff>47038</xdr:colOff>
      <xdr:row>4</xdr:row>
      <xdr:rowOff>1128889</xdr:rowOff>
    </xdr:from>
    <xdr:to>
      <xdr:col>7</xdr:col>
      <xdr:colOff>849643</xdr:colOff>
      <xdr:row>4</xdr:row>
      <xdr:rowOff>1702742</xdr:rowOff>
    </xdr:to>
    <xdr:sp macro="" textlink="">
      <xdr:nvSpPr>
        <xdr:cNvPr id="4" name="Object 22" hidden="1">
          <a:extLst>
            <a:ext uri="{63B3BB69-23CF-44E3-9099-C40C66FF867C}">
              <a14:compatExt xmlns:a14="http://schemas.microsoft.com/office/drawing/2010/main" spid="_x0000_s71702"/>
            </a:ext>
            <a:ext uri="{FF2B5EF4-FFF2-40B4-BE49-F238E27FC236}">
              <a16:creationId xmlns:a16="http://schemas.microsoft.com/office/drawing/2014/main" id="{00000000-0008-0000-0A00-000004000000}"/>
            </a:ext>
          </a:extLst>
        </xdr:cNvPr>
        <xdr:cNvSpPr/>
      </xdr:nvSpPr>
      <xdr:spPr bwMode="auto">
        <a:xfrm>
          <a:off x="11286538" y="2195689"/>
          <a:ext cx="1777965" cy="57385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xdr:from>
          <xdr:col>5</xdr:col>
          <xdr:colOff>812800</xdr:colOff>
          <xdr:row>4</xdr:row>
          <xdr:rowOff>6350</xdr:rowOff>
        </xdr:from>
        <xdr:to>
          <xdr:col>7</xdr:col>
          <xdr:colOff>0</xdr:colOff>
          <xdr:row>4</xdr:row>
          <xdr:rowOff>793750</xdr:rowOff>
        </xdr:to>
        <xdr:sp macro="" textlink="">
          <xdr:nvSpPr>
            <xdr:cNvPr id="77846" name="Object 22" hidden="1">
              <a:extLst>
                <a:ext uri="{63B3BB69-23CF-44E3-9099-C40C66FF867C}">
                  <a14:compatExt spid="_x0000_s77846"/>
                </a:ext>
                <a:ext uri="{FF2B5EF4-FFF2-40B4-BE49-F238E27FC236}">
                  <a16:creationId xmlns:a16="http://schemas.microsoft.com/office/drawing/2014/main" id="{00000000-0008-0000-0A00-00001630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1092200</xdr:rowOff>
        </xdr:from>
        <xdr:to>
          <xdr:col>8</xdr:col>
          <xdr:colOff>6350</xdr:colOff>
          <xdr:row>5</xdr:row>
          <xdr:rowOff>12700</xdr:rowOff>
        </xdr:to>
        <xdr:sp macro="" textlink="">
          <xdr:nvSpPr>
            <xdr:cNvPr id="77847" name="Object 23" hidden="1">
              <a:extLst>
                <a:ext uri="{63B3BB69-23CF-44E3-9099-C40C66FF867C}">
                  <a14:compatExt spid="_x0000_s77847"/>
                </a:ext>
                <a:ext uri="{FF2B5EF4-FFF2-40B4-BE49-F238E27FC236}">
                  <a16:creationId xmlns:a16="http://schemas.microsoft.com/office/drawing/2014/main" id="{00000000-0008-0000-0A00-00001730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406400</xdr:colOff>
          <xdr:row>1</xdr:row>
          <xdr:rowOff>76200</xdr:rowOff>
        </xdr:from>
        <xdr:to>
          <xdr:col>8</xdr:col>
          <xdr:colOff>603250</xdr:colOff>
          <xdr:row>3</xdr:row>
          <xdr:rowOff>165100</xdr:rowOff>
        </xdr:to>
        <xdr:sp macro="" textlink="">
          <xdr:nvSpPr>
            <xdr:cNvPr id="90113" name="CommandButton1" hidden="1">
              <a:extLst>
                <a:ext uri="{63B3BB69-23CF-44E3-9099-C40C66FF867C}">
                  <a14:compatExt spid="_x0000_s90113"/>
                </a:ext>
                <a:ext uri="{FF2B5EF4-FFF2-40B4-BE49-F238E27FC236}">
                  <a16:creationId xmlns:a16="http://schemas.microsoft.com/office/drawing/2014/main" id="{00000000-0008-0000-0B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869151</xdr:colOff>
      <xdr:row>37</xdr:row>
      <xdr:rowOff>716846</xdr:rowOff>
    </xdr:from>
    <xdr:to>
      <xdr:col>4</xdr:col>
      <xdr:colOff>1279291</xdr:colOff>
      <xdr:row>37</xdr:row>
      <xdr:rowOff>2916432</xdr:rowOff>
    </xdr:to>
    <xdr:pic>
      <xdr:nvPicPr>
        <xdr:cNvPr id="2" name="Picture 1">
          <a:extLst>
            <a:ext uri="{FF2B5EF4-FFF2-40B4-BE49-F238E27FC236}">
              <a16:creationId xmlns:a16="http://schemas.microsoft.com/office/drawing/2014/main" id="{FA782A78-EE46-4DAF-A905-F97C0219AB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61526" y="17296696"/>
          <a:ext cx="3527990" cy="2202761"/>
        </a:xfrm>
        <a:prstGeom prst="rect">
          <a:avLst/>
        </a:prstGeom>
      </xdr:spPr>
    </xdr:pic>
    <xdr:clientData/>
  </xdr:twoCellAnchor>
  <xdr:twoCellAnchor editAs="oneCell">
    <xdr:from>
      <xdr:col>2</xdr:col>
      <xdr:colOff>479779</xdr:colOff>
      <xdr:row>38</xdr:row>
      <xdr:rowOff>641727</xdr:rowOff>
    </xdr:from>
    <xdr:to>
      <xdr:col>4</xdr:col>
      <xdr:colOff>2828455</xdr:colOff>
      <xdr:row>38</xdr:row>
      <xdr:rowOff>2810480</xdr:rowOff>
    </xdr:to>
    <xdr:pic>
      <xdr:nvPicPr>
        <xdr:cNvPr id="3" name="Picture 2">
          <a:extLst>
            <a:ext uri="{FF2B5EF4-FFF2-40B4-BE49-F238E27FC236}">
              <a16:creationId xmlns:a16="http://schemas.microsoft.com/office/drawing/2014/main" id="{CB89A274-C9C5-43D9-A3ED-A2397758D7BF}"/>
            </a:ext>
          </a:extLst>
        </xdr:cNvPr>
        <xdr:cNvPicPr>
          <a:picLocks noChangeAspect="1"/>
        </xdr:cNvPicPr>
      </xdr:nvPicPr>
      <xdr:blipFill>
        <a:blip xmlns:r="http://schemas.openxmlformats.org/officeDocument/2006/relationships" r:embed="rId2"/>
        <a:stretch>
          <a:fillRect/>
        </a:stretch>
      </xdr:blipFill>
      <xdr:spPr>
        <a:xfrm>
          <a:off x="2978504" y="20364827"/>
          <a:ext cx="5460176" cy="2171928"/>
        </a:xfrm>
        <a:prstGeom prst="rect">
          <a:avLst/>
        </a:prstGeom>
      </xdr:spPr>
    </xdr:pic>
    <xdr:clientData/>
  </xdr:twoCellAnchor>
  <xdr:twoCellAnchor>
    <xdr:from>
      <xdr:col>6</xdr:col>
      <xdr:colOff>47038</xdr:colOff>
      <xdr:row>4</xdr:row>
      <xdr:rowOff>1128889</xdr:rowOff>
    </xdr:from>
    <xdr:to>
      <xdr:col>7</xdr:col>
      <xdr:colOff>849643</xdr:colOff>
      <xdr:row>4</xdr:row>
      <xdr:rowOff>1702742</xdr:rowOff>
    </xdr:to>
    <xdr:sp macro="" textlink="">
      <xdr:nvSpPr>
        <xdr:cNvPr id="4" name="Object 22" hidden="1">
          <a:extLst>
            <a:ext uri="{63B3BB69-23CF-44E3-9099-C40C66FF867C}">
              <a14:compatExt xmlns:a14="http://schemas.microsoft.com/office/drawing/2010/main" spid="_x0000_s71702"/>
            </a:ext>
            <a:ext uri="{FF2B5EF4-FFF2-40B4-BE49-F238E27FC236}">
              <a16:creationId xmlns:a16="http://schemas.microsoft.com/office/drawing/2014/main" id="{F8302168-2F95-4423-BA16-731D2EF9BA4E}"/>
            </a:ext>
          </a:extLst>
        </xdr:cNvPr>
        <xdr:cNvSpPr/>
      </xdr:nvSpPr>
      <xdr:spPr bwMode="auto">
        <a:xfrm>
          <a:off x="11499263" y="2208389"/>
          <a:ext cx="1786855" cy="57385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6</xdr:col>
          <xdr:colOff>25400</xdr:colOff>
          <xdr:row>4</xdr:row>
          <xdr:rowOff>107950</xdr:rowOff>
        </xdr:from>
        <xdr:to>
          <xdr:col>6</xdr:col>
          <xdr:colOff>965200</xdr:colOff>
          <xdr:row>4</xdr:row>
          <xdr:rowOff>850900</xdr:rowOff>
        </xdr:to>
        <xdr:sp macro="" textlink="">
          <xdr:nvSpPr>
            <xdr:cNvPr id="90114" name="Object 2" hidden="1">
              <a:extLst>
                <a:ext uri="{63B3BB69-23CF-44E3-9099-C40C66FF867C}">
                  <a14:compatExt spid="_x0000_s90114"/>
                </a:ext>
                <a:ext uri="{FF2B5EF4-FFF2-40B4-BE49-F238E27FC236}">
                  <a16:creationId xmlns:a16="http://schemas.microsoft.com/office/drawing/2014/main" id="{00000000-0008-0000-0B00-00000260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4</xdr:row>
          <xdr:rowOff>1231900</xdr:rowOff>
        </xdr:from>
        <xdr:to>
          <xdr:col>7</xdr:col>
          <xdr:colOff>495300</xdr:colOff>
          <xdr:row>4</xdr:row>
          <xdr:rowOff>1752600</xdr:rowOff>
        </xdr:to>
        <xdr:sp macro="" textlink="">
          <xdr:nvSpPr>
            <xdr:cNvPr id="90115" name="Object 3" hidden="1">
              <a:extLst>
                <a:ext uri="{63B3BB69-23CF-44E3-9099-C40C66FF867C}">
                  <a14:compatExt spid="_x0000_s90115"/>
                </a:ext>
                <a:ext uri="{FF2B5EF4-FFF2-40B4-BE49-F238E27FC236}">
                  <a16:creationId xmlns:a16="http://schemas.microsoft.com/office/drawing/2014/main" id="{00000000-0008-0000-0B00-00000360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406400</xdr:colOff>
          <xdr:row>1</xdr:row>
          <xdr:rowOff>76200</xdr:rowOff>
        </xdr:from>
        <xdr:to>
          <xdr:col>8</xdr:col>
          <xdr:colOff>561975</xdr:colOff>
          <xdr:row>3</xdr:row>
          <xdr:rowOff>152400</xdr:rowOff>
        </xdr:to>
        <xdr:sp macro="" textlink="">
          <xdr:nvSpPr>
            <xdr:cNvPr id="83969" name="CommandButton1" hidden="1">
              <a:extLst>
                <a:ext uri="{63B3BB69-23CF-44E3-9099-C40C66FF867C}">
                  <a14:compatExt spid="_x0000_s83969"/>
                </a:ext>
                <a:ext uri="{FF2B5EF4-FFF2-40B4-BE49-F238E27FC236}">
                  <a16:creationId xmlns:a16="http://schemas.microsoft.com/office/drawing/2014/main" id="{00000000-0008-0000-0C00-000001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47038</xdr:colOff>
      <xdr:row>4</xdr:row>
      <xdr:rowOff>1128889</xdr:rowOff>
    </xdr:from>
    <xdr:to>
      <xdr:col>7</xdr:col>
      <xdr:colOff>849643</xdr:colOff>
      <xdr:row>4</xdr:row>
      <xdr:rowOff>1702742</xdr:rowOff>
    </xdr:to>
    <xdr:sp macro="" textlink="">
      <xdr:nvSpPr>
        <xdr:cNvPr id="4" name="Object 22" hidden="1">
          <a:extLst>
            <a:ext uri="{63B3BB69-23CF-44E3-9099-C40C66FF867C}">
              <a14:compatExt xmlns:a14="http://schemas.microsoft.com/office/drawing/2010/main" spid="_x0000_s71702"/>
            </a:ext>
            <a:ext uri="{FF2B5EF4-FFF2-40B4-BE49-F238E27FC236}">
              <a16:creationId xmlns:a16="http://schemas.microsoft.com/office/drawing/2014/main" id="{00000000-0008-0000-0B00-000004000000}"/>
            </a:ext>
          </a:extLst>
        </xdr:cNvPr>
        <xdr:cNvSpPr/>
      </xdr:nvSpPr>
      <xdr:spPr bwMode="auto">
        <a:xfrm>
          <a:off x="11286538" y="2195689"/>
          <a:ext cx="1777965" cy="57385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6</xdr:col>
          <xdr:colOff>95250</xdr:colOff>
          <xdr:row>4</xdr:row>
          <xdr:rowOff>425450</xdr:rowOff>
        </xdr:from>
        <xdr:to>
          <xdr:col>7</xdr:col>
          <xdr:colOff>19050</xdr:colOff>
          <xdr:row>4</xdr:row>
          <xdr:rowOff>1114425</xdr:rowOff>
        </xdr:to>
        <xdr:sp macro="" textlink="">
          <xdr:nvSpPr>
            <xdr:cNvPr id="83996" name="Object 28" hidden="1">
              <a:extLst>
                <a:ext uri="{63B3BB69-23CF-44E3-9099-C40C66FF867C}">
                  <a14:compatExt spid="_x0000_s83996"/>
                </a:ext>
                <a:ext uri="{FF2B5EF4-FFF2-40B4-BE49-F238E27FC236}">
                  <a16:creationId xmlns:a16="http://schemas.microsoft.com/office/drawing/2014/main" id="{00000000-0008-0000-0C00-00001C48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7</xdr:col>
          <xdr:colOff>457200</xdr:colOff>
          <xdr:row>6</xdr:row>
          <xdr:rowOff>19050</xdr:rowOff>
        </xdr:to>
        <xdr:sp macro="" textlink="">
          <xdr:nvSpPr>
            <xdr:cNvPr id="83997" name="Object 29" hidden="1">
              <a:extLst>
                <a:ext uri="{63B3BB69-23CF-44E3-9099-C40C66FF867C}">
                  <a14:compatExt spid="_x0000_s83997"/>
                </a:ext>
                <a:ext uri="{FF2B5EF4-FFF2-40B4-BE49-F238E27FC236}">
                  <a16:creationId xmlns:a16="http://schemas.microsoft.com/office/drawing/2014/main" id="{00000000-0008-0000-0C00-00001D48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3</xdr:col>
      <xdr:colOff>326084</xdr:colOff>
      <xdr:row>37</xdr:row>
      <xdr:rowOff>752593</xdr:rowOff>
    </xdr:from>
    <xdr:to>
      <xdr:col>4</xdr:col>
      <xdr:colOff>2610556</xdr:colOff>
      <xdr:row>37</xdr:row>
      <xdr:rowOff>3598333</xdr:rowOff>
    </xdr:to>
    <xdr:pic>
      <xdr:nvPicPr>
        <xdr:cNvPr id="3" name="Picture 2">
          <a:extLst>
            <a:ext uri="{FF2B5EF4-FFF2-40B4-BE49-F238E27FC236}">
              <a16:creationId xmlns:a16="http://schemas.microsoft.com/office/drawing/2014/main" id="{3A2C6005-A00A-AFB2-C1D7-50F8ECF56142}"/>
            </a:ext>
          </a:extLst>
        </xdr:cNvPr>
        <xdr:cNvPicPr>
          <a:picLocks noChangeAspect="1"/>
        </xdr:cNvPicPr>
      </xdr:nvPicPr>
      <xdr:blipFill>
        <a:blip xmlns:r="http://schemas.openxmlformats.org/officeDocument/2006/relationships" r:embed="rId1"/>
        <a:stretch>
          <a:fillRect/>
        </a:stretch>
      </xdr:blipFill>
      <xdr:spPr>
        <a:xfrm>
          <a:off x="4042010" y="17344908"/>
          <a:ext cx="4165953" cy="284574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406400</xdr:colOff>
          <xdr:row>1</xdr:row>
          <xdr:rowOff>76200</xdr:rowOff>
        </xdr:from>
        <xdr:to>
          <xdr:col>8</xdr:col>
          <xdr:colOff>571500</xdr:colOff>
          <xdr:row>3</xdr:row>
          <xdr:rowOff>152400</xdr:rowOff>
        </xdr:to>
        <xdr:sp macro="" textlink="">
          <xdr:nvSpPr>
            <xdr:cNvPr id="36865" name="CommandButton1" hidden="1">
              <a:extLst>
                <a:ext uri="{63B3BB69-23CF-44E3-9099-C40C66FF867C}">
                  <a14:compatExt spid="_x0000_s36865"/>
                </a:ext>
                <a:ext uri="{FF2B5EF4-FFF2-40B4-BE49-F238E27FC236}">
                  <a16:creationId xmlns:a16="http://schemas.microsoft.com/office/drawing/2014/main" id="{00000000-0008-0000-0D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asdev/SMK_PDMK/smk/docu/template_english/SWMODxTSn_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asdev/SMK_PDMK/smk/docu/template_english/SWMODxTSn%20-%20Kop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istory"/>
      <sheetName val="Guidelines"/>
      <sheetName val="Scope, Approach, Environment"/>
      <sheetName val="Tests"/>
      <sheetName val="Traceability Matrix"/>
      <sheetName val="Test Report template (example)"/>
      <sheetName val="__test_template__"/>
      <sheetName val="__data__"/>
    </sheetNames>
    <sheetDataSet>
      <sheetData sheetId="0" refreshError="1"/>
      <sheetData sheetId="1" refreshError="1"/>
      <sheetData sheetId="2" refreshError="1"/>
      <sheetData sheetId="3" refreshError="1"/>
      <sheetData sheetId="4" refreshError="1"/>
      <sheetData sheetId="5"/>
      <sheetData sheetId="6"/>
      <sheetData sheetId="7">
        <row r="1">
          <cell r="C1" t="str">
            <v>passed</v>
          </cell>
          <cell r="D1" t="str">
            <v>passed</v>
          </cell>
          <cell r="F1" t="str">
            <v>FULL</v>
          </cell>
          <cell r="G1" t="str">
            <v>FULL</v>
          </cell>
          <cell r="H1" t="str">
            <v>------------</v>
          </cell>
        </row>
        <row r="2">
          <cell r="C2" t="str">
            <v>failed</v>
          </cell>
          <cell r="D2" t="str">
            <v>failed (minor error)</v>
          </cell>
          <cell r="F2" t="str">
            <v>REGR</v>
          </cell>
          <cell r="G2" t="str">
            <v>REGR</v>
          </cell>
          <cell r="H2" t="str">
            <v>Test IDs</v>
          </cell>
        </row>
        <row r="3">
          <cell r="C3" t="str">
            <v>cond. acc.</v>
          </cell>
          <cell r="D3" t="str">
            <v>failed (major error / Issue)</v>
          </cell>
          <cell r="F3" t="str">
            <v>SHORT</v>
          </cell>
          <cell r="G3" t="str">
            <v>SHORT</v>
          </cell>
        </row>
        <row r="4">
          <cell r="F4" t="str">
            <v>IMPACT</v>
          </cell>
          <cell r="G4" t="str">
            <v>INFORM</v>
          </cell>
        </row>
        <row r="5">
          <cell r="F5" t="str">
            <v>PRIORITY</v>
          </cell>
        </row>
        <row r="6">
          <cell r="F6" t="str">
            <v>DELTA</v>
          </cell>
        </row>
        <row r="7">
          <cell r="F7" t="str">
            <v xml:space="preserve">MR </v>
          </cell>
        </row>
        <row r="8">
          <cell r="F8" t="str">
            <v>SMOKE</v>
          </cell>
        </row>
        <row r="9">
          <cell r="F9" t="str">
            <v>INFORM</v>
          </cell>
        </row>
        <row r="10">
          <cell r="F10" t="str">
            <v>DOC</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istory"/>
      <sheetName val="Guidelines"/>
      <sheetName val="Scope, Approach, Environment"/>
      <sheetName val="Tests"/>
      <sheetName val="Traceability Matrix"/>
      <sheetName val="__test_template__"/>
      <sheetName val="Test Report template (example)"/>
      <sheetName val="__data__"/>
    </sheetNames>
    <sheetDataSet>
      <sheetData sheetId="0" refreshError="1"/>
      <sheetData sheetId="1" refreshError="1"/>
      <sheetData sheetId="2" refreshError="1"/>
      <sheetData sheetId="3" refreshError="1"/>
      <sheetData sheetId="4" refreshError="1"/>
      <sheetData sheetId="5" refreshError="1"/>
      <sheetData sheetId="6"/>
      <sheetData sheetId="7">
        <row r="1">
          <cell r="C1" t="str">
            <v>passed</v>
          </cell>
          <cell r="D1" t="str">
            <v>passed</v>
          </cell>
          <cell r="F1" t="str">
            <v>FULL</v>
          </cell>
          <cell r="G1" t="str">
            <v>FULL</v>
          </cell>
          <cell r="H1" t="str">
            <v>------------</v>
          </cell>
        </row>
        <row r="2">
          <cell r="C2" t="str">
            <v>failed</v>
          </cell>
          <cell r="D2" t="str">
            <v>failed (minor error)</v>
          </cell>
          <cell r="F2" t="str">
            <v>REGR</v>
          </cell>
          <cell r="G2" t="str">
            <v>REGR</v>
          </cell>
          <cell r="H2" t="str">
            <v>Test IDs</v>
          </cell>
        </row>
        <row r="3">
          <cell r="C3" t="str">
            <v>cond. acc.</v>
          </cell>
          <cell r="D3" t="str">
            <v>failed (major error / Issue)</v>
          </cell>
          <cell r="F3" t="str">
            <v>SHORT</v>
          </cell>
          <cell r="G3" t="str">
            <v>SHORT</v>
          </cell>
        </row>
        <row r="4">
          <cell r="F4" t="str">
            <v>IMPACT</v>
          </cell>
          <cell r="G4" t="str">
            <v>INFORM</v>
          </cell>
        </row>
        <row r="5">
          <cell r="F5" t="str">
            <v>PRIORITY</v>
          </cell>
        </row>
        <row r="6">
          <cell r="F6" t="str">
            <v>DELTA</v>
          </cell>
        </row>
        <row r="7">
          <cell r="F7" t="str">
            <v xml:space="preserve">MR </v>
          </cell>
        </row>
        <row r="8">
          <cell r="F8" t="str">
            <v>SMOKE</v>
          </cell>
        </row>
        <row r="9">
          <cell r="F9" t="str">
            <v>INFORM</v>
          </cell>
        </row>
        <row r="10">
          <cell r="F10" t="str">
            <v>DOC</v>
          </cell>
        </row>
      </sheetData>
    </sheetDataSet>
  </externalBook>
</externalLink>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drawing" Target="../drawings/drawing3.xml"/><Relationship Id="rId7" Type="http://schemas.openxmlformats.org/officeDocument/2006/relationships/oleObject" Target="../embeddings/oleObject2.bin"/><Relationship Id="rId2" Type="http://schemas.openxmlformats.org/officeDocument/2006/relationships/printerSettings" Target="../printerSettings/printerSettings7.bin"/><Relationship Id="rId1" Type="http://schemas.openxmlformats.org/officeDocument/2006/relationships/hyperlink" Target="https://github-vni.geo.conti.de/cds/sw.pkg.em_psm/commit/2967aafa269d827d0338eaa85df0121940b3f1ca" TargetMode="External"/><Relationship Id="rId6" Type="http://schemas.openxmlformats.org/officeDocument/2006/relationships/image" Target="../media/image3.emf"/><Relationship Id="rId11" Type="http://schemas.openxmlformats.org/officeDocument/2006/relationships/comments" Target="../comments3.xml"/><Relationship Id="rId5" Type="http://schemas.openxmlformats.org/officeDocument/2006/relationships/oleObject" Target="../embeddings/oleObject1.bin"/><Relationship Id="rId10" Type="http://schemas.openxmlformats.org/officeDocument/2006/relationships/image" Target="../media/image5.emf"/><Relationship Id="rId4" Type="http://schemas.openxmlformats.org/officeDocument/2006/relationships/vmlDrawing" Target="../drawings/vmlDrawing4.vml"/><Relationship Id="rId9"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mments" Target="../comments4.xml"/><Relationship Id="rId5" Type="http://schemas.openxmlformats.org/officeDocument/2006/relationships/image" Target="../media/image7.emf"/><Relationship Id="rId4" Type="http://schemas.openxmlformats.org/officeDocument/2006/relationships/control" Target="../activeX/activeX3.xml"/></Relationships>
</file>

<file path=xl/worksheets/_rels/sheet9.xml.rels><?xml version="1.0" encoding="UTF-8" standalone="yes"?>
<Relationships xmlns="http://schemas.openxmlformats.org/package/2006/relationships"><Relationship Id="rId8" Type="http://schemas.openxmlformats.org/officeDocument/2006/relationships/oleObject" Target="../embeddings/oleObject4.bin"/><Relationship Id="rId3" Type="http://schemas.openxmlformats.org/officeDocument/2006/relationships/printerSettings" Target="../printerSettings/printerSettings9.bin"/><Relationship Id="rId7" Type="http://schemas.openxmlformats.org/officeDocument/2006/relationships/image" Target="../media/image8.emf"/><Relationship Id="rId12" Type="http://schemas.openxmlformats.org/officeDocument/2006/relationships/comments" Target="../comments5.xml"/><Relationship Id="rId2" Type="http://schemas.openxmlformats.org/officeDocument/2006/relationships/hyperlink" Target="https://github-vni.geo.conti.de/cds/sw.pkg.em_psm/commit/e1d915b3169eefeefd2540b0cd431fd5a8fa0c85" TargetMode="External"/><Relationship Id="rId1" Type="http://schemas.openxmlformats.org/officeDocument/2006/relationships/hyperlink" Target="https://github-vni.geo.conti.de/cds/sw.pkg.em_psm/commit/e1d915b3169eefeefd2540b0cd431fd5a8fa0c85" TargetMode="External"/><Relationship Id="rId6" Type="http://schemas.openxmlformats.org/officeDocument/2006/relationships/oleObject" Target="../embeddings/oleObject3.bin"/><Relationship Id="rId11" Type="http://schemas.openxmlformats.org/officeDocument/2006/relationships/image" Target="../media/image10.emf"/><Relationship Id="rId5" Type="http://schemas.openxmlformats.org/officeDocument/2006/relationships/vmlDrawing" Target="../drawings/vmlDrawing6.vml"/><Relationship Id="rId10" Type="http://schemas.openxmlformats.org/officeDocument/2006/relationships/control" Target="../activeX/activeX4.xml"/><Relationship Id="rId4" Type="http://schemas.openxmlformats.org/officeDocument/2006/relationships/drawing" Target="../drawings/drawing5.xml"/><Relationship Id="rId9" Type="http://schemas.openxmlformats.org/officeDocument/2006/relationships/image" Target="../media/image9.emf"/></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6.bin"/><Relationship Id="rId3" Type="http://schemas.openxmlformats.org/officeDocument/2006/relationships/printerSettings" Target="../printerSettings/printerSettings10.bin"/><Relationship Id="rId7" Type="http://schemas.openxmlformats.org/officeDocument/2006/relationships/image" Target="../media/image14.emf"/><Relationship Id="rId12" Type="http://schemas.openxmlformats.org/officeDocument/2006/relationships/comments" Target="../comments6.xml"/><Relationship Id="rId2" Type="http://schemas.openxmlformats.org/officeDocument/2006/relationships/hyperlink" Target="https://github-vni.geo.conti.de/cds/sw.pkg.em_psm/commit/e1d915b3169eefeefd2540b0cd431fd5a8fa0c85" TargetMode="External"/><Relationship Id="rId1" Type="http://schemas.openxmlformats.org/officeDocument/2006/relationships/hyperlink" Target="https://github-vni.geo.conti.de/cds/sw.pkg.em_psm/commit/e1d915b3169eefeefd2540b0cd431fd5a8fa0c85" TargetMode="External"/><Relationship Id="rId6" Type="http://schemas.openxmlformats.org/officeDocument/2006/relationships/oleObject" Target="../embeddings/oleObject5.bin"/><Relationship Id="rId11" Type="http://schemas.openxmlformats.org/officeDocument/2006/relationships/image" Target="../media/image16.emf"/><Relationship Id="rId5" Type="http://schemas.openxmlformats.org/officeDocument/2006/relationships/vmlDrawing" Target="../drawings/vmlDrawing7.vml"/><Relationship Id="rId10" Type="http://schemas.openxmlformats.org/officeDocument/2006/relationships/control" Target="../activeX/activeX5.xml"/><Relationship Id="rId4" Type="http://schemas.openxmlformats.org/officeDocument/2006/relationships/drawing" Target="../drawings/drawing6.xml"/><Relationship Id="rId9" Type="http://schemas.openxmlformats.org/officeDocument/2006/relationships/image" Target="../media/image15.emf"/></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oleObject8.bin"/><Relationship Id="rId3" Type="http://schemas.openxmlformats.org/officeDocument/2006/relationships/printerSettings" Target="../printerSettings/printerSettings11.bin"/><Relationship Id="rId7" Type="http://schemas.openxmlformats.org/officeDocument/2006/relationships/image" Target="../media/image18.emf"/><Relationship Id="rId12" Type="http://schemas.openxmlformats.org/officeDocument/2006/relationships/comments" Target="../comments7.xml"/><Relationship Id="rId2" Type="http://schemas.openxmlformats.org/officeDocument/2006/relationships/hyperlink" Target="https://github-vni.geo.conti.de/cds/sw.pkg.em_psm/commit/e1d915b3169eefeefd2540b0cd431fd5a8fa0c85" TargetMode="External"/><Relationship Id="rId1" Type="http://schemas.openxmlformats.org/officeDocument/2006/relationships/hyperlink" Target="https://github-vni.geo.conti.de/cds/sw.pkg.em_psm/commit/e1d915b3169eefeefd2540b0cd431fd5a8fa0c85" TargetMode="External"/><Relationship Id="rId6" Type="http://schemas.openxmlformats.org/officeDocument/2006/relationships/oleObject" Target="../embeddings/oleObject7.bin"/><Relationship Id="rId11" Type="http://schemas.openxmlformats.org/officeDocument/2006/relationships/image" Target="../media/image20.emf"/><Relationship Id="rId5" Type="http://schemas.openxmlformats.org/officeDocument/2006/relationships/vmlDrawing" Target="../drawings/vmlDrawing8.vml"/><Relationship Id="rId10" Type="http://schemas.openxmlformats.org/officeDocument/2006/relationships/control" Target="../activeX/activeX6.xml"/><Relationship Id="rId4" Type="http://schemas.openxmlformats.org/officeDocument/2006/relationships/drawing" Target="../drawings/drawing7.xml"/><Relationship Id="rId9" Type="http://schemas.openxmlformats.org/officeDocument/2006/relationships/image" Target="../media/image19.emf"/></Relationships>
</file>

<file path=xl/worksheets/_rels/sheet12.xml.rels><?xml version="1.0" encoding="UTF-8" standalone="yes"?>
<Relationships xmlns="http://schemas.openxmlformats.org/package/2006/relationships"><Relationship Id="rId8" Type="http://schemas.openxmlformats.org/officeDocument/2006/relationships/oleObject" Target="../embeddings/oleObject10.bin"/><Relationship Id="rId3" Type="http://schemas.openxmlformats.org/officeDocument/2006/relationships/printerSettings" Target="../printerSettings/printerSettings12.bin"/><Relationship Id="rId7" Type="http://schemas.openxmlformats.org/officeDocument/2006/relationships/image" Target="../media/image15.emf"/><Relationship Id="rId12" Type="http://schemas.openxmlformats.org/officeDocument/2006/relationships/comments" Target="../comments8.xml"/><Relationship Id="rId2" Type="http://schemas.openxmlformats.org/officeDocument/2006/relationships/hyperlink" Target="https://github-vni.geo.conti.de/cds/sw.pkg.em_psm/commit/e1d915b3169eefeefd2540b0cd431fd5a8fa0c85" TargetMode="External"/><Relationship Id="rId1" Type="http://schemas.openxmlformats.org/officeDocument/2006/relationships/hyperlink" Target="https://github-vni.geo.conti.de/cds/sw.pkg.em_psm/commit/e1d915b3169eefeefd2540b0cd431fd5a8fa0c85" TargetMode="External"/><Relationship Id="rId6" Type="http://schemas.openxmlformats.org/officeDocument/2006/relationships/oleObject" Target="../embeddings/oleObject9.bin"/><Relationship Id="rId11" Type="http://schemas.openxmlformats.org/officeDocument/2006/relationships/image" Target="../media/image21.emf"/><Relationship Id="rId5" Type="http://schemas.openxmlformats.org/officeDocument/2006/relationships/vmlDrawing" Target="../drawings/vmlDrawing9.vml"/><Relationship Id="rId10" Type="http://schemas.openxmlformats.org/officeDocument/2006/relationships/control" Target="../activeX/activeX7.xml"/><Relationship Id="rId4" Type="http://schemas.openxmlformats.org/officeDocument/2006/relationships/drawing" Target="../drawings/drawing8.xml"/><Relationship Id="rId9" Type="http://schemas.openxmlformats.org/officeDocument/2006/relationships/image" Target="../media/image14.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10.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oleObject" Target="../embeddings/oleObject11.bin"/><Relationship Id="rId5" Type="http://schemas.openxmlformats.org/officeDocument/2006/relationships/image" Target="../media/image22.emf"/><Relationship Id="rId10" Type="http://schemas.openxmlformats.org/officeDocument/2006/relationships/comments" Target="../comments9.xml"/><Relationship Id="rId4" Type="http://schemas.openxmlformats.org/officeDocument/2006/relationships/package" Target="../embeddings/Microsoft_Excel_Worksheet.xlsx"/><Relationship Id="rId9" Type="http://schemas.openxmlformats.org/officeDocument/2006/relationships/image" Target="../media/image24.emf"/></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mments" Target="../comments10.xml"/><Relationship Id="rId5" Type="http://schemas.openxmlformats.org/officeDocument/2006/relationships/image" Target="../media/image26.emf"/><Relationship Id="rId4" Type="http://schemas.openxmlformats.org/officeDocument/2006/relationships/control" Target="../activeX/activeX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E70"/>
  <sheetViews>
    <sheetView tabSelected="1" zoomScale="115" zoomScaleNormal="115" workbookViewId="0"/>
  </sheetViews>
  <sheetFormatPr defaultColWidth="11.453125" defaultRowHeight="12.5" x14ac:dyDescent="0.25"/>
  <cols>
    <col min="1" max="1" width="10.6328125" customWidth="1"/>
    <col min="2" max="2" width="20.6328125" customWidth="1"/>
    <col min="3" max="3" width="18.6328125" customWidth="1"/>
    <col min="4" max="4" width="36.6328125" customWidth="1"/>
    <col min="5" max="5" width="12.453125" customWidth="1"/>
  </cols>
  <sheetData>
    <row r="1" spans="1:5" x14ac:dyDescent="0.25">
      <c r="B1" s="2"/>
      <c r="C1" s="2"/>
      <c r="D1" s="2"/>
    </row>
    <row r="2" spans="1:5" ht="15.5" x14ac:dyDescent="0.35">
      <c r="A2" s="4" t="s">
        <v>126</v>
      </c>
      <c r="B2" s="2"/>
      <c r="C2" s="2"/>
      <c r="D2" s="2"/>
    </row>
    <row r="3" spans="1:5" x14ac:dyDescent="0.25">
      <c r="A3" s="11"/>
      <c r="B3" s="2"/>
      <c r="C3" s="2"/>
      <c r="D3" s="2"/>
    </row>
    <row r="4" spans="1:5" ht="13" x14ac:dyDescent="0.3">
      <c r="B4" s="5"/>
      <c r="C4" s="2"/>
      <c r="D4" s="2"/>
    </row>
    <row r="5" spans="1:5" ht="13" x14ac:dyDescent="0.3">
      <c r="A5" s="3" t="s">
        <v>230</v>
      </c>
      <c r="B5" s="5"/>
      <c r="C5" s="2"/>
      <c r="D5" s="2"/>
    </row>
    <row r="6" spans="1:5" ht="13" x14ac:dyDescent="0.3">
      <c r="A6" s="3" t="s">
        <v>271</v>
      </c>
      <c r="B6" s="5"/>
      <c r="C6" s="2"/>
      <c r="D6" s="23"/>
    </row>
    <row r="7" spans="1:5" ht="13" x14ac:dyDescent="0.3">
      <c r="A7" s="3"/>
      <c r="B7" s="5"/>
      <c r="C7" s="2"/>
      <c r="D7" s="2"/>
    </row>
    <row r="8" spans="1:5" ht="13" x14ac:dyDescent="0.3">
      <c r="A8" t="s">
        <v>0</v>
      </c>
      <c r="B8" s="5" t="s">
        <v>523</v>
      </c>
      <c r="C8" s="2"/>
      <c r="D8" s="2"/>
    </row>
    <row r="9" spans="1:5" ht="13" x14ac:dyDescent="0.3">
      <c r="B9" s="5"/>
      <c r="C9" s="2"/>
      <c r="D9" s="2"/>
    </row>
    <row r="10" spans="1:5" ht="13" x14ac:dyDescent="0.3">
      <c r="A10" t="s">
        <v>1</v>
      </c>
      <c r="B10" s="112">
        <v>1.6</v>
      </c>
      <c r="C10" s="107"/>
      <c r="D10" s="107"/>
      <c r="E10" s="6"/>
    </row>
    <row r="11" spans="1:5" ht="13" x14ac:dyDescent="0.3">
      <c r="A11" t="s">
        <v>2</v>
      </c>
      <c r="B11" s="5" t="s">
        <v>236</v>
      </c>
      <c r="C11" s="2"/>
      <c r="D11" s="2"/>
    </row>
    <row r="12" spans="1:5" ht="13" x14ac:dyDescent="0.3">
      <c r="A12" t="s">
        <v>3</v>
      </c>
      <c r="B12" s="5" t="s">
        <v>272</v>
      </c>
      <c r="C12" s="2"/>
      <c r="D12" s="2"/>
    </row>
    <row r="13" spans="1:5" x14ac:dyDescent="0.25">
      <c r="B13" s="2"/>
      <c r="C13" s="2"/>
      <c r="D13" s="2"/>
    </row>
    <row r="14" spans="1:5" x14ac:dyDescent="0.25">
      <c r="B14" s="2"/>
      <c r="C14" s="2"/>
      <c r="D14" s="2"/>
    </row>
    <row r="15" spans="1:5" ht="14.5" thickBot="1" x14ac:dyDescent="0.35">
      <c r="A15" s="7" t="s">
        <v>5</v>
      </c>
      <c r="B15" s="2"/>
      <c r="C15" s="2"/>
      <c r="D15" s="2"/>
    </row>
    <row r="16" spans="1:5" x14ac:dyDescent="0.25">
      <c r="A16" s="12" t="s">
        <v>6</v>
      </c>
      <c r="B16" s="13" t="s">
        <v>7</v>
      </c>
      <c r="C16" s="13" t="s">
        <v>8</v>
      </c>
      <c r="D16" s="14" t="s">
        <v>9</v>
      </c>
    </row>
    <row r="17" spans="1:4" x14ac:dyDescent="0.25">
      <c r="A17" s="124" t="s">
        <v>231</v>
      </c>
      <c r="B17" s="96">
        <v>45429</v>
      </c>
      <c r="C17" s="125" t="s">
        <v>270</v>
      </c>
      <c r="D17" s="126" t="s">
        <v>232</v>
      </c>
    </row>
    <row r="18" spans="1:4" x14ac:dyDescent="0.25">
      <c r="A18" s="124" t="s">
        <v>438</v>
      </c>
      <c r="B18" s="96">
        <v>45510</v>
      </c>
      <c r="C18" s="125" t="s">
        <v>270</v>
      </c>
      <c r="D18" s="126" t="s">
        <v>439</v>
      </c>
    </row>
    <row r="19" spans="1:4" x14ac:dyDescent="0.25">
      <c r="A19" s="124" t="s">
        <v>442</v>
      </c>
      <c r="B19" s="96">
        <v>45540</v>
      </c>
      <c r="C19" s="125" t="s">
        <v>270</v>
      </c>
      <c r="D19" s="126" t="s">
        <v>462</v>
      </c>
    </row>
    <row r="20" spans="1:4" ht="25" x14ac:dyDescent="0.25">
      <c r="A20" s="124" t="s">
        <v>473</v>
      </c>
      <c r="B20" s="96">
        <v>45555</v>
      </c>
      <c r="C20" s="125" t="s">
        <v>270</v>
      </c>
      <c r="D20" s="126" t="s">
        <v>474</v>
      </c>
    </row>
    <row r="21" spans="1:4" x14ac:dyDescent="0.25">
      <c r="A21" s="124" t="s">
        <v>505</v>
      </c>
      <c r="B21" s="96">
        <v>45564</v>
      </c>
      <c r="C21" s="125" t="s">
        <v>270</v>
      </c>
      <c r="D21" s="126" t="s">
        <v>506</v>
      </c>
    </row>
    <row r="22" spans="1:4" ht="25" x14ac:dyDescent="0.25">
      <c r="A22" s="124" t="s">
        <v>522</v>
      </c>
      <c r="B22" s="96">
        <v>45971</v>
      </c>
      <c r="C22" s="125" t="s">
        <v>523</v>
      </c>
      <c r="D22" s="126" t="s">
        <v>524</v>
      </c>
    </row>
    <row r="23" spans="1:4" x14ac:dyDescent="0.25">
      <c r="B23" s="96"/>
      <c r="C23" s="97"/>
      <c r="D23" s="98"/>
    </row>
    <row r="24" spans="1:4" x14ac:dyDescent="0.25">
      <c r="A24" s="95"/>
      <c r="B24" s="96"/>
      <c r="C24" s="97"/>
      <c r="D24" s="98"/>
    </row>
    <row r="25" spans="1:4" x14ac:dyDescent="0.25">
      <c r="A25" s="95"/>
      <c r="B25" s="96"/>
      <c r="C25" s="97"/>
      <c r="D25" s="98"/>
    </row>
    <row r="26" spans="1:4" x14ac:dyDescent="0.25">
      <c r="A26" s="95"/>
      <c r="B26" s="96"/>
      <c r="C26" s="97"/>
      <c r="D26" s="98"/>
    </row>
    <row r="27" spans="1:4" x14ac:dyDescent="0.25">
      <c r="A27" s="95"/>
      <c r="B27" s="96"/>
      <c r="C27" s="97"/>
      <c r="D27" s="98"/>
    </row>
    <row r="28" spans="1:4" x14ac:dyDescent="0.25">
      <c r="A28" s="95"/>
      <c r="B28" s="96"/>
      <c r="C28" s="97"/>
      <c r="D28" s="98"/>
    </row>
    <row r="29" spans="1:4" x14ac:dyDescent="0.25">
      <c r="A29" s="95"/>
      <c r="B29" s="96"/>
      <c r="C29" s="97"/>
      <c r="D29" s="98"/>
    </row>
    <row r="30" spans="1:4" x14ac:dyDescent="0.25">
      <c r="A30" s="95"/>
      <c r="B30" s="96"/>
      <c r="C30" s="97"/>
      <c r="D30" s="98"/>
    </row>
    <row r="31" spans="1:4" x14ac:dyDescent="0.25">
      <c r="A31" s="95"/>
      <c r="B31" s="96"/>
      <c r="C31" s="97"/>
      <c r="D31" s="98"/>
    </row>
    <row r="32" spans="1:4" x14ac:dyDescent="0.25">
      <c r="A32" s="95"/>
      <c r="B32" s="96"/>
      <c r="C32" s="97"/>
      <c r="D32" s="98"/>
    </row>
    <row r="33" spans="1:5" x14ac:dyDescent="0.25">
      <c r="A33" s="95"/>
      <c r="B33" s="96"/>
      <c r="C33" s="97"/>
      <c r="D33" s="98"/>
    </row>
    <row r="34" spans="1:5" x14ac:dyDescent="0.25">
      <c r="A34" s="95"/>
      <c r="B34" s="96"/>
      <c r="C34" s="97"/>
      <c r="D34" s="98"/>
    </row>
    <row r="35" spans="1:5" ht="13" thickBot="1" x14ac:dyDescent="0.3">
      <c r="A35" s="99"/>
      <c r="B35" s="100"/>
      <c r="C35" s="101"/>
      <c r="D35" s="102"/>
    </row>
    <row r="36" spans="1:5" x14ac:dyDescent="0.25">
      <c r="B36" s="2"/>
      <c r="C36" s="2"/>
      <c r="D36" s="2"/>
    </row>
    <row r="37" spans="1:5" ht="13" thickBot="1" x14ac:dyDescent="0.3">
      <c r="B37" s="2"/>
      <c r="C37" s="2"/>
      <c r="D37" s="2"/>
    </row>
    <row r="38" spans="1:5" ht="15" customHeight="1" x14ac:dyDescent="0.25">
      <c r="A38" s="72" t="s">
        <v>10</v>
      </c>
      <c r="B38" s="73"/>
      <c r="C38" s="73"/>
      <c r="D38" s="74"/>
      <c r="E38" s="1"/>
    </row>
    <row r="39" spans="1:5" ht="13" thickBot="1" x14ac:dyDescent="0.3">
      <c r="A39" s="75" t="s">
        <v>124</v>
      </c>
      <c r="B39" s="76"/>
      <c r="C39" s="76"/>
      <c r="D39" s="77"/>
    </row>
    <row r="40" spans="1:5" x14ac:dyDescent="0.25">
      <c r="B40" s="2"/>
      <c r="C40" s="2"/>
      <c r="D40" s="2"/>
    </row>
    <row r="41" spans="1:5" ht="30" customHeight="1" x14ac:dyDescent="0.25">
      <c r="A41" s="168" t="s">
        <v>14</v>
      </c>
      <c r="B41" s="168"/>
      <c r="C41" s="168"/>
      <c r="D41" s="168"/>
    </row>
    <row r="42" spans="1:5" ht="13" x14ac:dyDescent="0.25">
      <c r="A42" s="169" t="s">
        <v>197</v>
      </c>
      <c r="B42" s="170"/>
      <c r="C42" s="24" t="s">
        <v>7</v>
      </c>
      <c r="D42" s="25" t="s">
        <v>15</v>
      </c>
    </row>
    <row r="43" spans="1:5" ht="31.5" customHeight="1" x14ac:dyDescent="0.25">
      <c r="A43" s="26" t="s">
        <v>16</v>
      </c>
      <c r="B43" s="135" t="s">
        <v>526</v>
      </c>
      <c r="C43" s="96">
        <v>45971</v>
      </c>
      <c r="D43" s="27" t="s">
        <v>525</v>
      </c>
    </row>
    <row r="44" spans="1:5" x14ac:dyDescent="0.25">
      <c r="A44" s="28" t="s">
        <v>125</v>
      </c>
      <c r="B44" s="136"/>
      <c r="C44" s="96"/>
      <c r="D44" s="27"/>
    </row>
    <row r="45" spans="1:5" x14ac:dyDescent="0.25">
      <c r="A45" s="29"/>
      <c r="B45" s="30"/>
      <c r="C45" s="31" t="s">
        <v>17</v>
      </c>
      <c r="D45" s="32"/>
      <c r="E45" s="2"/>
    </row>
    <row r="46" spans="1:5" ht="12.75" customHeight="1" x14ac:dyDescent="0.25">
      <c r="A46" s="33"/>
      <c r="B46" s="34"/>
      <c r="C46" s="171"/>
      <c r="D46" s="172"/>
      <c r="E46" s="2"/>
    </row>
    <row r="47" spans="1:5" x14ac:dyDescent="0.25">
      <c r="A47" s="35"/>
      <c r="B47" s="36"/>
      <c r="C47" s="37" t="s">
        <v>18</v>
      </c>
      <c r="D47" s="38"/>
      <c r="E47" s="2"/>
    </row>
    <row r="48" spans="1:5" ht="12.75" customHeight="1" x14ac:dyDescent="0.25">
      <c r="A48" s="173" t="s">
        <v>178</v>
      </c>
      <c r="B48" s="174"/>
      <c r="C48" s="174" t="s">
        <v>229</v>
      </c>
      <c r="D48" s="175"/>
      <c r="E48" s="2"/>
    </row>
    <row r="49" spans="2:4" x14ac:dyDescent="0.25">
      <c r="B49" s="2"/>
      <c r="C49" s="2"/>
      <c r="D49" s="2"/>
    </row>
    <row r="50" spans="2:4" x14ac:dyDescent="0.25">
      <c r="B50" s="2"/>
      <c r="C50" s="2"/>
      <c r="D50" s="2"/>
    </row>
    <row r="51" spans="2:4" x14ac:dyDescent="0.25">
      <c r="B51" s="2"/>
      <c r="C51" s="2"/>
      <c r="D51" s="2"/>
    </row>
    <row r="52" spans="2:4" x14ac:dyDescent="0.25">
      <c r="B52" s="2"/>
      <c r="C52" s="2"/>
      <c r="D52" s="2"/>
    </row>
    <row r="53" spans="2:4" x14ac:dyDescent="0.25">
      <c r="B53" s="2"/>
      <c r="C53" s="2"/>
      <c r="D53" s="2"/>
    </row>
    <row r="54" spans="2:4" x14ac:dyDescent="0.25">
      <c r="B54" s="2"/>
      <c r="C54" s="2"/>
      <c r="D54" s="2"/>
    </row>
    <row r="55" spans="2:4" x14ac:dyDescent="0.25">
      <c r="B55" s="2"/>
      <c r="C55" s="2"/>
      <c r="D55" s="2"/>
    </row>
    <row r="56" spans="2:4" x14ac:dyDescent="0.25">
      <c r="B56" s="2"/>
      <c r="C56" s="2"/>
      <c r="D56" s="2"/>
    </row>
    <row r="57" spans="2:4" x14ac:dyDescent="0.25">
      <c r="B57" s="2"/>
      <c r="C57" s="2"/>
      <c r="D57" s="2"/>
    </row>
    <row r="58" spans="2:4" x14ac:dyDescent="0.25">
      <c r="B58" s="2"/>
      <c r="C58" s="2"/>
      <c r="D58" s="2"/>
    </row>
    <row r="59" spans="2:4" x14ac:dyDescent="0.25">
      <c r="B59" s="2"/>
      <c r="C59" s="2"/>
      <c r="D59" s="2"/>
    </row>
    <row r="60" spans="2:4" x14ac:dyDescent="0.25">
      <c r="B60" s="2"/>
      <c r="C60" s="2"/>
      <c r="D60" s="2"/>
    </row>
    <row r="61" spans="2:4" x14ac:dyDescent="0.25">
      <c r="B61" s="2"/>
      <c r="C61" s="2"/>
      <c r="D61" s="2"/>
    </row>
    <row r="62" spans="2:4" x14ac:dyDescent="0.25">
      <c r="B62" s="2"/>
      <c r="C62" s="2"/>
      <c r="D62" s="2"/>
    </row>
    <row r="63" spans="2:4" x14ac:dyDescent="0.25">
      <c r="B63" s="2"/>
      <c r="C63" s="2"/>
      <c r="D63" s="2"/>
    </row>
    <row r="64" spans="2:4" x14ac:dyDescent="0.25">
      <c r="B64" s="2"/>
      <c r="C64" s="2"/>
      <c r="D64" s="2"/>
    </row>
    <row r="65" spans="2:4" x14ac:dyDescent="0.25">
      <c r="B65" s="2"/>
      <c r="C65" s="2"/>
      <c r="D65" s="2"/>
    </row>
    <row r="66" spans="2:4" x14ac:dyDescent="0.25">
      <c r="B66" s="2"/>
      <c r="C66" s="2"/>
      <c r="D66" s="2"/>
    </row>
    <row r="67" spans="2:4" x14ac:dyDescent="0.25">
      <c r="B67" s="2"/>
      <c r="C67" s="2"/>
      <c r="D67" s="2"/>
    </row>
    <row r="68" spans="2:4" x14ac:dyDescent="0.25">
      <c r="B68" s="2"/>
      <c r="C68" s="2"/>
      <c r="D68" s="2"/>
    </row>
    <row r="69" spans="2:4" x14ac:dyDescent="0.25">
      <c r="B69" s="2"/>
      <c r="C69" s="2"/>
      <c r="D69" s="2"/>
    </row>
    <row r="70" spans="2:4" x14ac:dyDescent="0.25">
      <c r="B70" s="2"/>
      <c r="C70" s="2"/>
      <c r="D70" s="2"/>
    </row>
  </sheetData>
  <mergeCells count="5">
    <mergeCell ref="A41:D41"/>
    <mergeCell ref="A42:B42"/>
    <mergeCell ref="C46:D46"/>
    <mergeCell ref="A48:B48"/>
    <mergeCell ref="C48:D48"/>
  </mergeCells>
  <phoneticPr fontId="0" type="noConversion"/>
  <pageMargins left="0.78740157480314965" right="0.78740157480314965" top="0.98425196850393704" bottom="0.98425196850393704" header="0.51181102362204722" footer="0.51181102362204722"/>
  <pageSetup paperSize="9" orientation="portrait" r:id="rId1"/>
  <headerFooter alignWithMargins="0">
    <oddFooter>&amp;L&amp;D&amp;C&amp;F - &amp;A_x000D_&amp;1#&amp;"Arial"&amp;8&amp;K000000 Internal&amp;R&amp;P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6">
    <tabColor indexed="43"/>
  </sheetPr>
  <dimension ref="A1:K85"/>
  <sheetViews>
    <sheetView zoomScale="68" workbookViewId="0">
      <selection sqref="A1:XFD1"/>
    </sheetView>
  </sheetViews>
  <sheetFormatPr defaultColWidth="12.54296875" defaultRowHeight="14" x14ac:dyDescent="0.3"/>
  <cols>
    <col min="1" max="1" width="23.90625" style="15" customWidth="1"/>
    <col min="2" max="2" width="86.6328125" style="15" customWidth="1"/>
    <col min="3" max="3" width="14.08984375" style="15" customWidth="1"/>
    <col min="4" max="4" width="12.6328125" style="9" bestFit="1" customWidth="1"/>
    <col min="5" max="5" width="12.54296875" style="9"/>
    <col min="6" max="6" width="14.90625" style="9" bestFit="1" customWidth="1"/>
    <col min="7" max="9" width="12.54296875" style="9"/>
    <col min="10" max="10" width="14.6328125" style="9" bestFit="1" customWidth="1"/>
    <col min="11" max="16384" width="12.54296875" style="9"/>
  </cols>
  <sheetData>
    <row r="1" spans="1:3" ht="15.5" x14ac:dyDescent="0.35">
      <c r="A1" s="8" t="s">
        <v>19</v>
      </c>
    </row>
    <row r="2" spans="1:3" x14ac:dyDescent="0.3">
      <c r="A2" s="20"/>
    </row>
    <row r="3" spans="1:3" x14ac:dyDescent="0.3">
      <c r="A3" s="10" t="s">
        <v>11</v>
      </c>
    </row>
    <row r="4" spans="1:3" x14ac:dyDescent="0.3">
      <c r="A4" s="21"/>
    </row>
    <row r="5" spans="1:3" x14ac:dyDescent="0.3">
      <c r="A5" s="21" t="s">
        <v>12</v>
      </c>
      <c r="B5" s="17" t="s">
        <v>13</v>
      </c>
      <c r="C5" s="17"/>
    </row>
    <row r="6" spans="1:3" x14ac:dyDescent="0.3">
      <c r="A6" s="18"/>
    </row>
    <row r="7" spans="1:3" x14ac:dyDescent="0.3">
      <c r="A7" s="21" t="s">
        <v>20</v>
      </c>
      <c r="B7" s="17" t="s">
        <v>21</v>
      </c>
      <c r="C7" s="17"/>
    </row>
    <row r="8" spans="1:3" x14ac:dyDescent="0.3">
      <c r="B8" s="18"/>
      <c r="C8" s="18"/>
    </row>
    <row r="9" spans="1:3" x14ac:dyDescent="0.3">
      <c r="A9" s="21" t="s">
        <v>150</v>
      </c>
      <c r="B9" s="18"/>
      <c r="C9" s="18"/>
    </row>
    <row r="10" spans="1:3" x14ac:dyDescent="0.3">
      <c r="B10" s="18" t="s">
        <v>151</v>
      </c>
      <c r="C10" s="18"/>
    </row>
    <row r="11" spans="1:3" x14ac:dyDescent="0.3">
      <c r="B11" s="18" t="s">
        <v>152</v>
      </c>
      <c r="C11" s="18"/>
    </row>
    <row r="12" spans="1:3" x14ac:dyDescent="0.3">
      <c r="B12" s="18"/>
      <c r="C12" s="18"/>
    </row>
    <row r="13" spans="1:3" x14ac:dyDescent="0.3">
      <c r="A13" s="21" t="s">
        <v>32</v>
      </c>
      <c r="B13" s="17" t="s">
        <v>22</v>
      </c>
      <c r="C13" s="17"/>
    </row>
    <row r="14" spans="1:3" x14ac:dyDescent="0.3">
      <c r="A14" s="21"/>
      <c r="B14" s="17"/>
      <c r="C14" s="17"/>
    </row>
    <row r="15" spans="1:3" ht="25.5" x14ac:dyDescent="0.3">
      <c r="A15" s="21"/>
      <c r="B15" s="17" t="s">
        <v>215</v>
      </c>
      <c r="C15" s="17"/>
    </row>
    <row r="16" spans="1:3" x14ac:dyDescent="0.3">
      <c r="A16" s="21"/>
      <c r="B16" s="17"/>
      <c r="C16" s="17"/>
    </row>
    <row r="17" spans="1:4" x14ac:dyDescent="0.3">
      <c r="B17" s="17" t="s">
        <v>209</v>
      </c>
      <c r="C17" s="17"/>
    </row>
    <row r="18" spans="1:4" x14ac:dyDescent="0.3">
      <c r="B18" s="17"/>
      <c r="C18" s="17"/>
    </row>
    <row r="19" spans="1:4" customFormat="1" ht="13" x14ac:dyDescent="0.25">
      <c r="B19" s="90" t="s">
        <v>173</v>
      </c>
      <c r="C19" s="90"/>
      <c r="D19" s="6"/>
    </row>
    <row r="20" spans="1:4" customFormat="1" ht="12.5" x14ac:dyDescent="0.25">
      <c r="B20" s="17" t="s">
        <v>33</v>
      </c>
      <c r="C20" s="17"/>
    </row>
    <row r="21" spans="1:4" customFormat="1" ht="25" x14ac:dyDescent="0.25">
      <c r="B21" s="17" t="s">
        <v>34</v>
      </c>
      <c r="C21" s="17"/>
    </row>
    <row r="22" spans="1:4" customFormat="1" ht="12.5" x14ac:dyDescent="0.25">
      <c r="B22" s="17" t="s">
        <v>35</v>
      </c>
      <c r="C22" s="17"/>
    </row>
    <row r="23" spans="1:4" customFormat="1" ht="12.5" x14ac:dyDescent="0.25">
      <c r="B23" s="17" t="s">
        <v>36</v>
      </c>
      <c r="C23" s="17"/>
    </row>
    <row r="24" spans="1:4" customFormat="1" ht="12.5" x14ac:dyDescent="0.25">
      <c r="B24" s="17" t="s">
        <v>37</v>
      </c>
      <c r="C24" s="17"/>
    </row>
    <row r="25" spans="1:4" customFormat="1" ht="13" x14ac:dyDescent="0.25">
      <c r="B25" s="91" t="s">
        <v>174</v>
      </c>
      <c r="C25" s="91"/>
    </row>
    <row r="26" spans="1:4" customFormat="1" ht="12.5" x14ac:dyDescent="0.25">
      <c r="D26" s="42"/>
    </row>
    <row r="27" spans="1:4" x14ac:dyDescent="0.3">
      <c r="A27" s="22"/>
      <c r="B27" s="17" t="s">
        <v>172</v>
      </c>
      <c r="C27" s="17"/>
    </row>
    <row r="28" spans="1:4" customFormat="1" ht="12.5" x14ac:dyDescent="0.25">
      <c r="D28" s="42"/>
    </row>
    <row r="29" spans="1:4" x14ac:dyDescent="0.3">
      <c r="A29" s="22"/>
      <c r="B29" s="17" t="s">
        <v>23</v>
      </c>
      <c r="C29" s="17"/>
    </row>
    <row r="30" spans="1:4" x14ac:dyDescent="0.3">
      <c r="B30" s="17" t="s">
        <v>175</v>
      </c>
      <c r="C30" s="17"/>
    </row>
    <row r="31" spans="1:4" ht="25.5" x14ac:dyDescent="0.3">
      <c r="B31" s="17" t="s">
        <v>176</v>
      </c>
      <c r="C31" s="17"/>
    </row>
    <row r="32" spans="1:4" x14ac:dyDescent="0.3">
      <c r="B32" s="6" t="s">
        <v>177</v>
      </c>
      <c r="C32" s="6"/>
    </row>
    <row r="33" spans="1:11" ht="25" x14ac:dyDescent="0.3">
      <c r="B33" s="17" t="s">
        <v>24</v>
      </c>
      <c r="C33" s="17"/>
    </row>
    <row r="34" spans="1:11" ht="25" x14ac:dyDescent="0.3">
      <c r="B34" s="17" t="s">
        <v>25</v>
      </c>
      <c r="C34" s="17"/>
    </row>
    <row r="35" spans="1:11" x14ac:dyDescent="0.3">
      <c r="B35" s="17"/>
      <c r="C35" s="17"/>
    </row>
    <row r="36" spans="1:11" x14ac:dyDescent="0.3">
      <c r="B36" s="17" t="s">
        <v>26</v>
      </c>
      <c r="C36" s="17"/>
    </row>
    <row r="37" spans="1:11" ht="25" x14ac:dyDescent="0.3">
      <c r="B37" s="17" t="s">
        <v>27</v>
      </c>
      <c r="C37" s="17"/>
    </row>
    <row r="38" spans="1:11" x14ac:dyDescent="0.3">
      <c r="B38" s="17"/>
      <c r="C38" s="17"/>
    </row>
    <row r="39" spans="1:11" x14ac:dyDescent="0.3">
      <c r="A39" s="22"/>
      <c r="B39" s="17" t="s">
        <v>28</v>
      </c>
      <c r="C39" s="17"/>
    </row>
    <row r="40" spans="1:11" ht="25" x14ac:dyDescent="0.3">
      <c r="B40" s="17" t="s">
        <v>29</v>
      </c>
      <c r="C40" s="17"/>
    </row>
    <row r="41" spans="1:11" ht="25" x14ac:dyDescent="0.3">
      <c r="A41" s="22"/>
      <c r="B41" s="17" t="s">
        <v>30</v>
      </c>
      <c r="C41" s="17"/>
    </row>
    <row r="42" spans="1:11" x14ac:dyDescent="0.3">
      <c r="B42" s="17" t="s">
        <v>31</v>
      </c>
      <c r="C42" s="17"/>
    </row>
    <row r="43" spans="1:11" x14ac:dyDescent="0.3">
      <c r="B43" s="16"/>
      <c r="C43" s="16"/>
    </row>
    <row r="44" spans="1:11" x14ac:dyDescent="0.3">
      <c r="B44" s="6" t="s">
        <v>43</v>
      </c>
      <c r="C44" s="6"/>
    </row>
    <row r="45" spans="1:11" x14ac:dyDescent="0.3">
      <c r="B45" s="6" t="s">
        <v>42</v>
      </c>
      <c r="C45" s="6"/>
    </row>
    <row r="46" spans="1:11" x14ac:dyDescent="0.3">
      <c r="A46" s="105" t="s">
        <v>197</v>
      </c>
      <c r="B46" s="16"/>
      <c r="C46" s="16"/>
    </row>
    <row r="47" spans="1:11" ht="14.5" thickBot="1" x14ac:dyDescent="0.35"/>
    <row r="48" spans="1:11" x14ac:dyDescent="0.3">
      <c r="A48" s="82" t="s">
        <v>149</v>
      </c>
      <c r="B48" s="113" t="s">
        <v>214</v>
      </c>
      <c r="C48" s="43" t="s">
        <v>45</v>
      </c>
      <c r="D48" s="110" t="s">
        <v>207</v>
      </c>
      <c r="E48" s="44" t="s">
        <v>90</v>
      </c>
      <c r="F48" s="44" t="s">
        <v>38</v>
      </c>
      <c r="G48" s="44" t="s">
        <v>39</v>
      </c>
      <c r="H48" s="44" t="s">
        <v>170</v>
      </c>
      <c r="I48" s="44" t="s">
        <v>41</v>
      </c>
      <c r="J48" s="44" t="s">
        <v>40</v>
      </c>
      <c r="K48" s="44" t="s">
        <v>92</v>
      </c>
    </row>
    <row r="49" spans="1:11" x14ac:dyDescent="0.3">
      <c r="A49" s="9"/>
      <c r="B49" s="61"/>
      <c r="C49" s="61"/>
      <c r="D49" s="109"/>
      <c r="E49" s="62"/>
      <c r="F49" s="106" t="s">
        <v>198</v>
      </c>
      <c r="G49" s="62"/>
      <c r="H49" s="62"/>
      <c r="I49" s="62"/>
      <c r="J49" s="62"/>
      <c r="K49" s="104"/>
    </row>
    <row r="50" spans="1:11" ht="63" x14ac:dyDescent="0.3">
      <c r="A50" s="9"/>
      <c r="B50" s="45" t="s">
        <v>216</v>
      </c>
      <c r="C50" s="45" t="s">
        <v>153</v>
      </c>
      <c r="D50" s="111" t="s">
        <v>208</v>
      </c>
      <c r="E50" s="84" t="s">
        <v>154</v>
      </c>
      <c r="F50" s="103" t="s">
        <v>155</v>
      </c>
      <c r="G50" s="84" t="s">
        <v>156</v>
      </c>
      <c r="H50" s="46" t="s">
        <v>196</v>
      </c>
      <c r="I50" s="46">
        <v>1</v>
      </c>
      <c r="J50" s="84" t="s">
        <v>157</v>
      </c>
      <c r="K50" s="84" t="s">
        <v>158</v>
      </c>
    </row>
    <row r="51" spans="1:11" x14ac:dyDescent="0.3">
      <c r="A51" s="9"/>
      <c r="B51" s="85"/>
      <c r="C51" s="85"/>
      <c r="D51" s="85"/>
      <c r="E51" s="83"/>
      <c r="F51" s="83"/>
      <c r="G51" s="85"/>
      <c r="H51" s="86"/>
      <c r="I51" s="85"/>
    </row>
    <row r="52" spans="1:11" x14ac:dyDescent="0.3">
      <c r="A52" s="82" t="s">
        <v>159</v>
      </c>
      <c r="B52" s="87" t="s">
        <v>171</v>
      </c>
      <c r="C52" s="87"/>
      <c r="D52" s="85"/>
      <c r="E52" s="83"/>
      <c r="F52" s="83"/>
      <c r="G52" s="85"/>
      <c r="H52" s="86"/>
      <c r="I52" s="85"/>
    </row>
    <row r="53" spans="1:11" x14ac:dyDescent="0.3">
      <c r="A53" s="9"/>
      <c r="B53" s="87" t="s">
        <v>161</v>
      </c>
      <c r="C53" s="87"/>
      <c r="D53" s="85"/>
      <c r="E53" s="83"/>
      <c r="F53" s="83"/>
      <c r="G53" s="85"/>
      <c r="H53" s="86"/>
      <c r="I53" s="85"/>
    </row>
    <row r="54" spans="1:11" x14ac:dyDescent="0.3">
      <c r="A54" s="9"/>
      <c r="B54" s="87" t="s">
        <v>162</v>
      </c>
      <c r="C54" s="87"/>
      <c r="D54" s="85"/>
      <c r="E54" s="83"/>
      <c r="F54" s="83"/>
      <c r="G54" s="85"/>
      <c r="H54" s="86"/>
      <c r="I54" s="85"/>
    </row>
    <row r="55" spans="1:11" x14ac:dyDescent="0.3">
      <c r="A55" s="9"/>
      <c r="B55" s="87" t="s">
        <v>160</v>
      </c>
      <c r="C55" s="87"/>
      <c r="D55" s="85"/>
      <c r="E55" s="83"/>
      <c r="F55" s="83"/>
      <c r="G55" s="85"/>
      <c r="H55" s="86"/>
      <c r="I55" s="85"/>
    </row>
    <row r="56" spans="1:11" x14ac:dyDescent="0.3">
      <c r="A56" s="9"/>
      <c r="B56" s="88" t="s">
        <v>163</v>
      </c>
      <c r="C56" s="88"/>
      <c r="D56" s="85"/>
      <c r="E56" s="83"/>
      <c r="F56" s="83"/>
      <c r="G56" s="85"/>
      <c r="H56" s="86"/>
      <c r="I56" s="85"/>
    </row>
    <row r="57" spans="1:11" x14ac:dyDescent="0.3">
      <c r="B57" s="88" t="s">
        <v>164</v>
      </c>
      <c r="C57" s="88"/>
    </row>
    <row r="58" spans="1:11" x14ac:dyDescent="0.3">
      <c r="B58" s="88" t="s">
        <v>165</v>
      </c>
      <c r="C58" s="88"/>
    </row>
    <row r="59" spans="1:11" x14ac:dyDescent="0.3">
      <c r="B59" s="88" t="s">
        <v>166</v>
      </c>
      <c r="C59" s="88"/>
    </row>
    <row r="60" spans="1:11" x14ac:dyDescent="0.3">
      <c r="B60" s="88" t="s">
        <v>167</v>
      </c>
      <c r="C60" s="88"/>
    </row>
    <row r="61" spans="1:11" x14ac:dyDescent="0.3">
      <c r="A61" s="22"/>
      <c r="B61" s="88" t="s">
        <v>168</v>
      </c>
      <c r="C61" s="88"/>
    </row>
    <row r="62" spans="1:11" x14ac:dyDescent="0.3">
      <c r="B62" s="88" t="s">
        <v>169</v>
      </c>
      <c r="C62" s="88"/>
    </row>
    <row r="63" spans="1:11" x14ac:dyDescent="0.3">
      <c r="A63" s="22"/>
      <c r="B63" s="19"/>
      <c r="C63" s="19"/>
    </row>
    <row r="64" spans="1:11" x14ac:dyDescent="0.3">
      <c r="A64" s="21" t="s">
        <v>44</v>
      </c>
      <c r="B64" s="89" t="s">
        <v>46</v>
      </c>
      <c r="C64" s="89"/>
    </row>
    <row r="65" spans="1:3" x14ac:dyDescent="0.3">
      <c r="A65" s="22"/>
      <c r="B65" s="89" t="s">
        <v>47</v>
      </c>
      <c r="C65" s="89"/>
    </row>
    <row r="66" spans="1:3" x14ac:dyDescent="0.3">
      <c r="B66" s="89" t="s">
        <v>48</v>
      </c>
      <c r="C66" s="89"/>
    </row>
    <row r="67" spans="1:3" x14ac:dyDescent="0.3">
      <c r="B67" s="89" t="s">
        <v>49</v>
      </c>
      <c r="C67" s="89"/>
    </row>
    <row r="68" spans="1:3" x14ac:dyDescent="0.3">
      <c r="B68" s="89" t="s">
        <v>50</v>
      </c>
      <c r="C68" s="89"/>
    </row>
    <row r="69" spans="1:3" x14ac:dyDescent="0.3">
      <c r="B69" s="89" t="s">
        <v>51</v>
      </c>
      <c r="C69" s="89"/>
    </row>
    <row r="70" spans="1:3" x14ac:dyDescent="0.3">
      <c r="B70" s="89" t="s">
        <v>52</v>
      </c>
      <c r="C70" s="89"/>
    </row>
    <row r="71" spans="1:3" x14ac:dyDescent="0.3">
      <c r="B71" s="89" t="s">
        <v>53</v>
      </c>
      <c r="C71" s="89"/>
    </row>
    <row r="72" spans="1:3" x14ac:dyDescent="0.3">
      <c r="B72" s="89" t="s">
        <v>54</v>
      </c>
      <c r="C72" s="89"/>
    </row>
    <row r="73" spans="1:3" x14ac:dyDescent="0.3">
      <c r="B73" s="6"/>
      <c r="C73" s="6"/>
    </row>
    <row r="74" spans="1:3" ht="39" x14ac:dyDescent="0.3">
      <c r="A74" s="108" t="s">
        <v>206</v>
      </c>
      <c r="B74" s="59" t="s">
        <v>205</v>
      </c>
      <c r="C74" s="59"/>
    </row>
    <row r="75" spans="1:3" x14ac:dyDescent="0.3">
      <c r="B75" s="6"/>
      <c r="C75" s="6"/>
    </row>
    <row r="76" spans="1:3" x14ac:dyDescent="0.3">
      <c r="A76" s="21" t="s">
        <v>190</v>
      </c>
      <c r="B76" s="89" t="s">
        <v>191</v>
      </c>
      <c r="C76" s="89"/>
    </row>
    <row r="77" spans="1:3" ht="100.5" x14ac:dyDescent="0.3">
      <c r="B77" s="59" t="s">
        <v>212</v>
      </c>
      <c r="C77" s="59"/>
    </row>
    <row r="78" spans="1:3" ht="188" x14ac:dyDescent="0.3">
      <c r="B78" s="2" t="s">
        <v>193</v>
      </c>
      <c r="C78" s="2"/>
    </row>
    <row r="79" spans="1:3" ht="25.5" x14ac:dyDescent="0.3">
      <c r="B79" s="2" t="s">
        <v>194</v>
      </c>
      <c r="C79" s="2"/>
    </row>
    <row r="80" spans="1:3" ht="138" x14ac:dyDescent="0.3">
      <c r="B80" s="2" t="s">
        <v>195</v>
      </c>
      <c r="C80" s="2"/>
    </row>
    <row r="81" spans="1:3" x14ac:dyDescent="0.3">
      <c r="A81" s="82" t="s">
        <v>159</v>
      </c>
      <c r="B81" s="88" t="s">
        <v>166</v>
      </c>
      <c r="C81" s="88"/>
    </row>
    <row r="82" spans="1:3" x14ac:dyDescent="0.3">
      <c r="B82" s="88" t="s">
        <v>167</v>
      </c>
      <c r="C82" s="88"/>
    </row>
    <row r="83" spans="1:3" x14ac:dyDescent="0.3">
      <c r="A83" s="22"/>
      <c r="B83" s="88" t="s">
        <v>168</v>
      </c>
      <c r="C83" s="88"/>
    </row>
    <row r="84" spans="1:3" x14ac:dyDescent="0.3">
      <c r="B84" s="88" t="s">
        <v>169</v>
      </c>
      <c r="C84" s="88"/>
    </row>
    <row r="85" spans="1:3" x14ac:dyDescent="0.3">
      <c r="B85" s="88" t="s">
        <v>192</v>
      </c>
      <c r="C85" s="88"/>
    </row>
  </sheetData>
  <phoneticPr fontId="6" type="noConversion"/>
  <pageMargins left="0.78740157499999996" right="0.78740157499999996" top="0.984251969" bottom="0.984251969" header="0.4921259845" footer="0.4921259845"/>
  <pageSetup paperSize="9" orientation="portrait" r:id="rId1"/>
  <headerFooter alignWithMargins="0">
    <oddFooter>&amp;L&amp;D&amp;C&amp;F - &amp;A_x000D_&amp;1#&amp;"Arial"&amp;8&amp;K000000 Internal&amp;R&amp;P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tabColor indexed="44"/>
  </sheetPr>
  <dimension ref="A1:C55"/>
  <sheetViews>
    <sheetView zoomScale="85" zoomScaleNormal="85" workbookViewId="0"/>
  </sheetViews>
  <sheetFormatPr defaultColWidth="11.453125" defaultRowHeight="12.5" x14ac:dyDescent="0.25"/>
  <cols>
    <col min="2" max="2" width="96.90625" style="2" bestFit="1" customWidth="1"/>
    <col min="3" max="3" width="11.453125" customWidth="1"/>
  </cols>
  <sheetData>
    <row r="1" spans="1:3" ht="20" x14ac:dyDescent="0.4">
      <c r="A1" s="39" t="s">
        <v>130</v>
      </c>
      <c r="B1" s="80" t="s">
        <v>56</v>
      </c>
    </row>
    <row r="2" spans="1:3" ht="15.5" x14ac:dyDescent="0.35">
      <c r="A2" s="41"/>
    </row>
    <row r="3" spans="1:3" ht="15.5" x14ac:dyDescent="0.35">
      <c r="A3" s="40" t="s">
        <v>127</v>
      </c>
      <c r="B3" s="79" t="s">
        <v>109</v>
      </c>
    </row>
    <row r="4" spans="1:3" ht="79.5" customHeight="1" x14ac:dyDescent="0.35">
      <c r="A4" s="41"/>
      <c r="B4" s="130" t="s">
        <v>273</v>
      </c>
      <c r="C4" s="130"/>
    </row>
    <row r="5" spans="1:3" ht="54" customHeight="1" x14ac:dyDescent="0.35">
      <c r="A5" s="41"/>
    </row>
    <row r="6" spans="1:3" ht="15.5" x14ac:dyDescent="0.35">
      <c r="A6" s="41"/>
    </row>
    <row r="7" spans="1:3" ht="15.5" x14ac:dyDescent="0.35">
      <c r="A7" s="40" t="s">
        <v>128</v>
      </c>
      <c r="B7" s="79" t="s">
        <v>129</v>
      </c>
    </row>
    <row r="8" spans="1:3" ht="15.5" x14ac:dyDescent="0.35">
      <c r="A8" s="41"/>
      <c r="B8" s="127" t="s">
        <v>4</v>
      </c>
    </row>
    <row r="9" spans="1:3" ht="15.5" x14ac:dyDescent="0.35">
      <c r="A9" s="41"/>
      <c r="B9" s="128" t="s">
        <v>274</v>
      </c>
    </row>
    <row r="10" spans="1:3" ht="15.5" x14ac:dyDescent="0.35">
      <c r="A10" s="41"/>
      <c r="B10" s="128" t="s">
        <v>275</v>
      </c>
    </row>
    <row r="11" spans="1:3" ht="15.5" x14ac:dyDescent="0.35">
      <c r="A11" s="41"/>
      <c r="B11" s="129" t="s">
        <v>277</v>
      </c>
    </row>
    <row r="12" spans="1:3" ht="15.5" x14ac:dyDescent="0.35">
      <c r="A12" s="41"/>
      <c r="B12" s="128" t="s">
        <v>278</v>
      </c>
    </row>
    <row r="13" spans="1:3" ht="15.5" x14ac:dyDescent="0.35">
      <c r="A13" s="41"/>
      <c r="B13" s="128" t="s">
        <v>279</v>
      </c>
    </row>
    <row r="14" spans="1:3" ht="15.5" x14ac:dyDescent="0.35">
      <c r="A14" s="41"/>
      <c r="B14" s="128" t="s">
        <v>280</v>
      </c>
    </row>
    <row r="15" spans="1:3" ht="15.5" x14ac:dyDescent="0.35">
      <c r="A15" s="41"/>
      <c r="B15" s="128" t="s">
        <v>276</v>
      </c>
    </row>
    <row r="16" spans="1:3" ht="15.5" x14ac:dyDescent="0.35">
      <c r="A16" s="41"/>
      <c r="B16" s="128" t="s">
        <v>282</v>
      </c>
    </row>
    <row r="17" spans="1:2" ht="15.5" x14ac:dyDescent="0.35">
      <c r="A17" s="41"/>
      <c r="B17" s="128" t="s">
        <v>283</v>
      </c>
    </row>
    <row r="18" spans="1:2" ht="15.5" x14ac:dyDescent="0.35">
      <c r="A18" s="41"/>
      <c r="B18" s="128" t="s">
        <v>281</v>
      </c>
    </row>
    <row r="19" spans="1:2" ht="15.5" x14ac:dyDescent="0.35">
      <c r="A19" s="41"/>
    </row>
    <row r="20" spans="1:2" ht="32.4" customHeight="1" x14ac:dyDescent="0.4">
      <c r="A20" s="39" t="s">
        <v>131</v>
      </c>
      <c r="B20" s="59"/>
    </row>
    <row r="21" spans="1:2" ht="15.5" x14ac:dyDescent="0.35">
      <c r="A21" s="41"/>
      <c r="B21" s="59"/>
    </row>
    <row r="22" spans="1:2" ht="15.5" x14ac:dyDescent="0.35">
      <c r="A22" s="40" t="s">
        <v>132</v>
      </c>
      <c r="B22" s="79" t="s">
        <v>133</v>
      </c>
    </row>
    <row r="23" spans="1:2" ht="15.5" x14ac:dyDescent="0.35">
      <c r="A23" s="81" t="s">
        <v>135</v>
      </c>
      <c r="B23" s="78" t="s">
        <v>134</v>
      </c>
    </row>
    <row r="24" spans="1:2" ht="38.5" x14ac:dyDescent="0.35">
      <c r="A24" s="41"/>
      <c r="B24" s="132" t="s">
        <v>233</v>
      </c>
    </row>
    <row r="25" spans="1:2" ht="60.75" customHeight="1" x14ac:dyDescent="0.35">
      <c r="A25" s="41"/>
    </row>
    <row r="26" spans="1:2" ht="15.5" x14ac:dyDescent="0.35">
      <c r="A26" s="41"/>
    </row>
    <row r="27" spans="1:2" ht="15.5" x14ac:dyDescent="0.35">
      <c r="A27" s="81" t="s">
        <v>199</v>
      </c>
      <c r="B27" s="78" t="s">
        <v>136</v>
      </c>
    </row>
    <row r="28" spans="1:2" ht="15.5" x14ac:dyDescent="0.35">
      <c r="A28" s="41"/>
      <c r="B28" s="59" t="s">
        <v>234</v>
      </c>
    </row>
    <row r="29" spans="1:2" ht="60" customHeight="1" x14ac:dyDescent="0.35">
      <c r="A29" s="41"/>
    </row>
    <row r="30" spans="1:2" ht="15.5" x14ac:dyDescent="0.35">
      <c r="A30" s="41"/>
    </row>
    <row r="31" spans="1:2" ht="15.5" x14ac:dyDescent="0.35">
      <c r="A31" s="40" t="s">
        <v>137</v>
      </c>
      <c r="B31" s="79" t="s">
        <v>138</v>
      </c>
    </row>
    <row r="32" spans="1:2" ht="15.5" x14ac:dyDescent="0.35">
      <c r="A32" s="41"/>
      <c r="B32" s="131"/>
    </row>
    <row r="33" spans="1:2" ht="15.5" x14ac:dyDescent="0.35">
      <c r="A33" s="41"/>
      <c r="B33" s="59" t="s">
        <v>426</v>
      </c>
    </row>
    <row r="34" spans="1:2" ht="15.5" x14ac:dyDescent="0.35">
      <c r="A34" s="41"/>
    </row>
    <row r="35" spans="1:2" ht="15.5" x14ac:dyDescent="0.35">
      <c r="A35" s="41"/>
    </row>
    <row r="36" spans="1:2" ht="15.5" x14ac:dyDescent="0.35">
      <c r="A36" s="40" t="s">
        <v>139</v>
      </c>
      <c r="B36" s="79" t="s">
        <v>140</v>
      </c>
    </row>
    <row r="37" spans="1:2" ht="15.5" x14ac:dyDescent="0.35">
      <c r="A37" s="41"/>
      <c r="B37" s="59" t="s">
        <v>426</v>
      </c>
    </row>
    <row r="38" spans="1:2" ht="99.75" customHeight="1" x14ac:dyDescent="0.35">
      <c r="A38" s="41"/>
    </row>
    <row r="39" spans="1:2" ht="15.5" x14ac:dyDescent="0.35">
      <c r="A39" s="41"/>
    </row>
    <row r="40" spans="1:2" ht="20" x14ac:dyDescent="0.4">
      <c r="A40" s="39" t="s">
        <v>141</v>
      </c>
      <c r="B40" s="80" t="s">
        <v>142</v>
      </c>
    </row>
    <row r="41" spans="1:2" ht="15.5" x14ac:dyDescent="0.35">
      <c r="A41" s="41"/>
      <c r="B41" s="133"/>
    </row>
    <row r="42" spans="1:2" ht="15.5" x14ac:dyDescent="0.35">
      <c r="A42" s="41"/>
    </row>
    <row r="43" spans="1:2" ht="15.5" x14ac:dyDescent="0.35">
      <c r="A43" s="40" t="s">
        <v>143</v>
      </c>
      <c r="B43" s="79" t="s">
        <v>144</v>
      </c>
    </row>
    <row r="44" spans="1:2" ht="15.5" x14ac:dyDescent="0.35">
      <c r="A44" s="41"/>
      <c r="B44" s="2" t="s">
        <v>426</v>
      </c>
    </row>
    <row r="45" spans="1:2" ht="15.5" x14ac:dyDescent="0.35">
      <c r="A45" s="40" t="s">
        <v>145</v>
      </c>
      <c r="B45" s="79" t="s">
        <v>146</v>
      </c>
    </row>
    <row r="46" spans="1:2" x14ac:dyDescent="0.25">
      <c r="B46" t="s">
        <v>426</v>
      </c>
    </row>
    <row r="47" spans="1:2" x14ac:dyDescent="0.25">
      <c r="B47"/>
    </row>
    <row r="48" spans="1:2" x14ac:dyDescent="0.25">
      <c r="B48"/>
    </row>
    <row r="49" spans="1:2" ht="85.5" customHeight="1" x14ac:dyDescent="0.25">
      <c r="B49"/>
    </row>
    <row r="50" spans="1:2" ht="15.5" x14ac:dyDescent="0.35">
      <c r="A50" s="41"/>
    </row>
    <row r="51" spans="1:2" ht="15.5" x14ac:dyDescent="0.35">
      <c r="A51" s="40" t="s">
        <v>147</v>
      </c>
      <c r="B51" s="79" t="s">
        <v>148</v>
      </c>
    </row>
    <row r="52" spans="1:2" ht="15.5" x14ac:dyDescent="0.35">
      <c r="A52" s="41"/>
      <c r="B52" s="131" t="s">
        <v>426</v>
      </c>
    </row>
    <row r="53" spans="1:2" s="60" customFormat="1" ht="74.25" customHeight="1" x14ac:dyDescent="0.35">
      <c r="A53" s="58"/>
      <c r="B53" s="59"/>
    </row>
    <row r="54" spans="1:2" ht="15.5" x14ac:dyDescent="0.35">
      <c r="A54" s="41"/>
    </row>
    <row r="55" spans="1:2" ht="15.5" x14ac:dyDescent="0.35">
      <c r="A55" s="41"/>
    </row>
  </sheetData>
  <phoneticPr fontId="6" type="noConversion"/>
  <pageMargins left="0.78740157499999996" right="0.78740157499999996" top="0.984251969" bottom="0.984251969" header="0.4921259845" footer="0.4921259845"/>
  <pageSetup paperSize="9" scale="77" fitToHeight="18" orientation="portrait" r:id="rId1"/>
  <headerFooter alignWithMargins="0">
    <oddFooter>&amp;L&amp;D&amp;C&amp;F - &amp;A_x000D_&amp;1#&amp;"Arial"&amp;8&amp;K000000 Internal&amp;R&amp;P</oddFooter>
  </headerFooter>
  <rowBreaks count="1" manualBreakCount="1">
    <brk id="39"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tabColor indexed="44"/>
  </sheetPr>
  <dimension ref="A1:N107"/>
  <sheetViews>
    <sheetView zoomScale="70" zoomScaleNormal="70" workbookViewId="0">
      <pane xSplit="9" ySplit="1" topLeftCell="J2" activePane="bottomRight" state="frozen"/>
      <selection pane="topRight" activeCell="J1" sqref="J1"/>
      <selection pane="bottomLeft" activeCell="A3" sqref="A3"/>
      <selection pane="bottomRight" activeCell="J2" sqref="J2"/>
    </sheetView>
  </sheetViews>
  <sheetFormatPr defaultColWidth="11.453125" defaultRowHeight="12.5" x14ac:dyDescent="0.25"/>
  <cols>
    <col min="1" max="1" width="8.08984375" style="138" customWidth="1"/>
    <col min="2" max="2" width="13.90625" style="138" customWidth="1"/>
    <col min="3" max="3" width="34" style="138" customWidth="1"/>
    <col min="4" max="4" width="12.08984375" style="138" customWidth="1"/>
    <col min="5" max="5" width="39.36328125" style="138" customWidth="1"/>
    <col min="6" max="6" width="15.90625" style="138" customWidth="1"/>
    <col min="7" max="7" width="8.81640625" style="138" customWidth="1"/>
    <col min="8" max="8" width="40.453125" style="138" customWidth="1"/>
    <col min="9" max="9" width="49.1796875" style="138" customWidth="1"/>
    <col min="10" max="10" width="18.6328125" style="138" customWidth="1"/>
    <col min="11" max="11" width="27.90625" style="138" customWidth="1"/>
    <col min="12" max="12" width="21.54296875" style="138" customWidth="1"/>
    <col min="13" max="13" width="14" style="138" customWidth="1"/>
    <col min="14" max="16384" width="11.453125" style="138"/>
  </cols>
  <sheetData>
    <row r="1" spans="1:14" ht="13" x14ac:dyDescent="0.25">
      <c r="A1" s="146" t="s">
        <v>249</v>
      </c>
      <c r="B1" s="147"/>
      <c r="C1" s="148"/>
      <c r="J1" s="141" t="s">
        <v>91</v>
      </c>
      <c r="K1" s="141" t="s">
        <v>91</v>
      </c>
      <c r="L1" s="141" t="s">
        <v>91</v>
      </c>
      <c r="M1" s="141" t="s">
        <v>91</v>
      </c>
      <c r="N1" s="141" t="s">
        <v>91</v>
      </c>
    </row>
    <row r="2" spans="1:14" ht="49.25" customHeight="1" x14ac:dyDescent="0.25">
      <c r="A2" s="161" t="s">
        <v>238</v>
      </c>
      <c r="B2" s="278" t="s">
        <v>401</v>
      </c>
      <c r="C2" s="139" t="s">
        <v>535</v>
      </c>
      <c r="D2" s="139" t="s">
        <v>250</v>
      </c>
      <c r="E2" s="139" t="s">
        <v>527</v>
      </c>
      <c r="F2" s="139" t="s">
        <v>407</v>
      </c>
      <c r="G2" s="139">
        <v>1</v>
      </c>
      <c r="H2" s="139"/>
      <c r="I2" s="139" t="s">
        <v>528</v>
      </c>
      <c r="J2" s="140" t="s">
        <v>84</v>
      </c>
      <c r="K2" s="140" t="s">
        <v>84</v>
      </c>
      <c r="L2" s="140" t="s">
        <v>84</v>
      </c>
      <c r="M2" s="140" t="s">
        <v>84</v>
      </c>
      <c r="N2" s="140" t="s">
        <v>84</v>
      </c>
    </row>
    <row r="3" spans="1:14" ht="49.25" customHeight="1" x14ac:dyDescent="0.25">
      <c r="A3" s="179" t="s">
        <v>239</v>
      </c>
      <c r="B3" s="278" t="s">
        <v>401</v>
      </c>
      <c r="C3" s="139" t="s">
        <v>290</v>
      </c>
      <c r="D3" s="139" t="s">
        <v>251</v>
      </c>
      <c r="E3" s="139" t="s">
        <v>292</v>
      </c>
      <c r="F3" s="139" t="s">
        <v>407</v>
      </c>
      <c r="G3" s="139">
        <v>1</v>
      </c>
      <c r="H3" s="139" t="s">
        <v>404</v>
      </c>
      <c r="I3" s="139" t="s">
        <v>529</v>
      </c>
      <c r="J3" s="140" t="s">
        <v>84</v>
      </c>
      <c r="K3" s="140" t="s">
        <v>84</v>
      </c>
      <c r="L3" s="140" t="s">
        <v>84</v>
      </c>
      <c r="M3" s="140" t="s">
        <v>84</v>
      </c>
      <c r="N3" s="140" t="s">
        <v>84</v>
      </c>
    </row>
    <row r="4" spans="1:14" ht="25" x14ac:dyDescent="0.25">
      <c r="A4" s="180"/>
      <c r="B4" s="279" t="s">
        <v>401</v>
      </c>
      <c r="C4" s="139" t="s">
        <v>291</v>
      </c>
      <c r="D4" s="139" t="s">
        <v>379</v>
      </c>
      <c r="E4" s="139" t="s">
        <v>287</v>
      </c>
      <c r="F4" s="139" t="s">
        <v>407</v>
      </c>
      <c r="G4" s="139">
        <v>1</v>
      </c>
      <c r="H4" s="139" t="s">
        <v>405</v>
      </c>
      <c r="I4" s="139" t="s">
        <v>530</v>
      </c>
      <c r="J4" s="140" t="s">
        <v>84</v>
      </c>
      <c r="K4" s="140" t="s">
        <v>84</v>
      </c>
      <c r="L4" s="140" t="s">
        <v>84</v>
      </c>
      <c r="M4" s="140" t="s">
        <v>84</v>
      </c>
      <c r="N4" s="140" t="s">
        <v>84</v>
      </c>
    </row>
    <row r="5" spans="1:14" ht="52.75" customHeight="1" x14ac:dyDescent="0.25">
      <c r="A5" s="180"/>
      <c r="B5" s="279" t="s">
        <v>401</v>
      </c>
      <c r="C5" s="139" t="s">
        <v>536</v>
      </c>
      <c r="D5" s="139" t="s">
        <v>380</v>
      </c>
      <c r="E5" s="139" t="s">
        <v>288</v>
      </c>
      <c r="F5" s="139" t="s">
        <v>407</v>
      </c>
      <c r="G5" s="139">
        <v>1</v>
      </c>
      <c r="H5" s="139" t="s">
        <v>555</v>
      </c>
      <c r="I5" s="139" t="s">
        <v>531</v>
      </c>
      <c r="J5" s="140" t="s">
        <v>84</v>
      </c>
      <c r="K5" s="140" t="s">
        <v>84</v>
      </c>
      <c r="L5" s="140" t="s">
        <v>84</v>
      </c>
      <c r="M5" s="140" t="s">
        <v>84</v>
      </c>
      <c r="N5" s="140" t="s">
        <v>84</v>
      </c>
    </row>
    <row r="6" spans="1:14" ht="51.65" customHeight="1" x14ac:dyDescent="0.25">
      <c r="A6" s="181"/>
      <c r="B6" s="279" t="s">
        <v>401</v>
      </c>
      <c r="C6" s="139" t="s">
        <v>537</v>
      </c>
      <c r="D6" s="139" t="s">
        <v>381</v>
      </c>
      <c r="E6" s="139" t="s">
        <v>289</v>
      </c>
      <c r="F6" s="139" t="s">
        <v>407</v>
      </c>
      <c r="G6" s="139">
        <v>1</v>
      </c>
      <c r="H6" s="139" t="s">
        <v>556</v>
      </c>
      <c r="I6" s="139" t="s">
        <v>532</v>
      </c>
      <c r="J6" s="140" t="s">
        <v>84</v>
      </c>
      <c r="K6" s="140" t="s">
        <v>84</v>
      </c>
      <c r="L6" s="140" t="s">
        <v>84</v>
      </c>
      <c r="M6" s="140" t="s">
        <v>84</v>
      </c>
      <c r="N6" s="140" t="s">
        <v>84</v>
      </c>
    </row>
    <row r="7" spans="1:14" ht="25" x14ac:dyDescent="0.25">
      <c r="A7" s="176" t="s">
        <v>240</v>
      </c>
      <c r="B7" s="279" t="s">
        <v>401</v>
      </c>
      <c r="C7" s="139" t="s">
        <v>366</v>
      </c>
      <c r="D7" s="139" t="s">
        <v>252</v>
      </c>
      <c r="E7" s="139" t="s">
        <v>293</v>
      </c>
      <c r="F7" s="139" t="s">
        <v>407</v>
      </c>
      <c r="G7" s="139">
        <v>1</v>
      </c>
      <c r="H7" s="139" t="s">
        <v>404</v>
      </c>
      <c r="I7" s="139" t="s">
        <v>534</v>
      </c>
      <c r="J7" s="140" t="s">
        <v>84</v>
      </c>
      <c r="K7" s="140" t="s">
        <v>84</v>
      </c>
      <c r="L7" s="140" t="s">
        <v>84</v>
      </c>
      <c r="M7" s="140" t="s">
        <v>84</v>
      </c>
      <c r="N7" s="140" t="s">
        <v>84</v>
      </c>
    </row>
    <row r="8" spans="1:14" ht="42.65" customHeight="1" x14ac:dyDescent="0.25">
      <c r="A8" s="177"/>
      <c r="B8" s="279" t="s">
        <v>401</v>
      </c>
      <c r="C8" s="139" t="s">
        <v>539</v>
      </c>
      <c r="D8" s="139" t="s">
        <v>382</v>
      </c>
      <c r="E8" s="139" t="s">
        <v>294</v>
      </c>
      <c r="F8" s="139" t="s">
        <v>407</v>
      </c>
      <c r="G8" s="139">
        <v>1</v>
      </c>
      <c r="H8" s="139" t="s">
        <v>557</v>
      </c>
      <c r="I8" s="139" t="s">
        <v>534</v>
      </c>
      <c r="J8" s="140" t="s">
        <v>84</v>
      </c>
      <c r="K8" s="140" t="s">
        <v>84</v>
      </c>
      <c r="L8" s="140" t="s">
        <v>84</v>
      </c>
      <c r="M8" s="140" t="s">
        <v>84</v>
      </c>
      <c r="N8" s="140" t="s">
        <v>84</v>
      </c>
    </row>
    <row r="9" spans="1:14" ht="50" x14ac:dyDescent="0.25">
      <c r="A9" s="177"/>
      <c r="B9" s="279" t="s">
        <v>401</v>
      </c>
      <c r="C9" s="139" t="s">
        <v>538</v>
      </c>
      <c r="D9" s="139" t="s">
        <v>383</v>
      </c>
      <c r="E9" s="139" t="s">
        <v>295</v>
      </c>
      <c r="F9" s="139" t="s">
        <v>407</v>
      </c>
      <c r="G9" s="139">
        <v>1</v>
      </c>
      <c r="H9" s="139" t="s">
        <v>558</v>
      </c>
      <c r="I9" s="139" t="s">
        <v>540</v>
      </c>
      <c r="J9" s="140" t="s">
        <v>84</v>
      </c>
      <c r="K9" s="140" t="s">
        <v>84</v>
      </c>
      <c r="L9" s="140" t="s">
        <v>84</v>
      </c>
      <c r="M9" s="140" t="s">
        <v>84</v>
      </c>
      <c r="N9" s="140" t="s">
        <v>84</v>
      </c>
    </row>
    <row r="10" spans="1:14" ht="50" x14ac:dyDescent="0.25">
      <c r="A10" s="177"/>
      <c r="B10" s="279" t="s">
        <v>401</v>
      </c>
      <c r="C10" s="139" t="s">
        <v>541</v>
      </c>
      <c r="D10" s="139" t="s">
        <v>384</v>
      </c>
      <c r="E10" s="139" t="s">
        <v>296</v>
      </c>
      <c r="F10" s="139" t="s">
        <v>407</v>
      </c>
      <c r="G10" s="139">
        <v>1</v>
      </c>
      <c r="H10" s="139" t="s">
        <v>559</v>
      </c>
      <c r="I10" s="139" t="s">
        <v>540</v>
      </c>
      <c r="J10" s="140" t="s">
        <v>84</v>
      </c>
      <c r="K10" s="140" t="s">
        <v>84</v>
      </c>
      <c r="L10" s="140" t="s">
        <v>84</v>
      </c>
      <c r="M10" s="140" t="s">
        <v>84</v>
      </c>
      <c r="N10" s="140" t="s">
        <v>84</v>
      </c>
    </row>
    <row r="11" spans="1:14" ht="78" customHeight="1" x14ac:dyDescent="0.25">
      <c r="A11" s="177"/>
      <c r="B11" s="279" t="s">
        <v>401</v>
      </c>
      <c r="C11" s="139" t="s">
        <v>542</v>
      </c>
      <c r="D11" s="139" t="s">
        <v>385</v>
      </c>
      <c r="E11" s="139" t="s">
        <v>297</v>
      </c>
      <c r="F11" s="139" t="s">
        <v>407</v>
      </c>
      <c r="G11" s="139">
        <v>1</v>
      </c>
      <c r="H11" s="139" t="s">
        <v>560</v>
      </c>
      <c r="I11" s="139" t="s">
        <v>406</v>
      </c>
      <c r="J11" s="140" t="s">
        <v>84</v>
      </c>
      <c r="K11" s="140" t="s">
        <v>84</v>
      </c>
      <c r="L11" s="140" t="s">
        <v>84</v>
      </c>
      <c r="M11" s="140" t="s">
        <v>84</v>
      </c>
      <c r="N11" s="140" t="s">
        <v>84</v>
      </c>
    </row>
    <row r="12" spans="1:14" ht="40.25" customHeight="1" x14ac:dyDescent="0.25">
      <c r="A12" s="177"/>
      <c r="B12" s="279" t="s">
        <v>401</v>
      </c>
      <c r="C12" s="139" t="s">
        <v>445</v>
      </c>
      <c r="D12" s="139" t="s">
        <v>478</v>
      </c>
      <c r="E12" s="139" t="s">
        <v>443</v>
      </c>
      <c r="F12" s="139" t="s">
        <v>407</v>
      </c>
      <c r="G12" s="139">
        <v>1</v>
      </c>
      <c r="H12" s="139" t="s">
        <v>561</v>
      </c>
      <c r="I12" s="139" t="s">
        <v>543</v>
      </c>
      <c r="J12" s="140" t="s">
        <v>84</v>
      </c>
      <c r="K12" s="140" t="s">
        <v>84</v>
      </c>
      <c r="L12" s="140" t="s">
        <v>84</v>
      </c>
      <c r="M12" s="140" t="s">
        <v>84</v>
      </c>
      <c r="N12" s="140" t="s">
        <v>84</v>
      </c>
    </row>
    <row r="13" spans="1:14" ht="40.25" customHeight="1" x14ac:dyDescent="0.25">
      <c r="A13" s="177"/>
      <c r="B13" s="279" t="s">
        <v>401</v>
      </c>
      <c r="C13" s="139" t="s">
        <v>477</v>
      </c>
      <c r="D13" s="139" t="s">
        <v>480</v>
      </c>
      <c r="E13" s="139" t="s">
        <v>444</v>
      </c>
      <c r="F13" s="139" t="s">
        <v>407</v>
      </c>
      <c r="G13" s="139">
        <v>1</v>
      </c>
      <c r="H13" s="139" t="s">
        <v>562</v>
      </c>
      <c r="I13" s="139" t="s">
        <v>543</v>
      </c>
      <c r="J13" s="140" t="s">
        <v>84</v>
      </c>
      <c r="K13" s="140" t="s">
        <v>84</v>
      </c>
      <c r="L13" s="140" t="s">
        <v>84</v>
      </c>
      <c r="M13" s="140" t="s">
        <v>84</v>
      </c>
      <c r="N13" s="140" t="s">
        <v>84</v>
      </c>
    </row>
    <row r="14" spans="1:14" ht="58" customHeight="1" x14ac:dyDescent="0.25">
      <c r="A14" s="178"/>
      <c r="B14" s="279" t="s">
        <v>401</v>
      </c>
      <c r="C14" s="139" t="s">
        <v>476</v>
      </c>
      <c r="D14" s="139" t="s">
        <v>533</v>
      </c>
      <c r="E14" s="139" t="s">
        <v>475</v>
      </c>
      <c r="F14" s="139" t="s">
        <v>407</v>
      </c>
      <c r="G14" s="139">
        <v>1</v>
      </c>
      <c r="H14" s="139" t="s">
        <v>563</v>
      </c>
      <c r="I14" s="139" t="s">
        <v>543</v>
      </c>
      <c r="J14" s="140" t="s">
        <v>84</v>
      </c>
      <c r="K14" s="140" t="s">
        <v>84</v>
      </c>
      <c r="L14" s="140" t="s">
        <v>84</v>
      </c>
      <c r="M14" s="140" t="s">
        <v>84</v>
      </c>
      <c r="N14" s="140" t="s">
        <v>84</v>
      </c>
    </row>
    <row r="15" spans="1:14" ht="25" x14ac:dyDescent="0.25">
      <c r="A15" s="176" t="s">
        <v>241</v>
      </c>
      <c r="B15" s="279" t="s">
        <v>401</v>
      </c>
      <c r="C15" s="139" t="s">
        <v>367</v>
      </c>
      <c r="D15" s="139" t="s">
        <v>253</v>
      </c>
      <c r="E15" s="139" t="s">
        <v>298</v>
      </c>
      <c r="F15" s="139" t="s">
        <v>407</v>
      </c>
      <c r="G15" s="139">
        <v>1</v>
      </c>
      <c r="H15" s="139" t="s">
        <v>404</v>
      </c>
      <c r="I15" s="139" t="s">
        <v>534</v>
      </c>
      <c r="J15" s="140" t="s">
        <v>84</v>
      </c>
      <c r="K15" s="140" t="s">
        <v>84</v>
      </c>
      <c r="L15" s="140" t="s">
        <v>84</v>
      </c>
      <c r="M15" s="140" t="s">
        <v>84</v>
      </c>
      <c r="N15" s="140" t="s">
        <v>84</v>
      </c>
    </row>
    <row r="16" spans="1:14" ht="37.5" x14ac:dyDescent="0.25">
      <c r="A16" s="177"/>
      <c r="B16" s="279" t="s">
        <v>401</v>
      </c>
      <c r="C16" s="139" t="s">
        <v>544</v>
      </c>
      <c r="D16" s="139" t="s">
        <v>254</v>
      </c>
      <c r="E16" s="139" t="s">
        <v>299</v>
      </c>
      <c r="F16" s="139" t="s">
        <v>407</v>
      </c>
      <c r="G16" s="139">
        <v>1</v>
      </c>
      <c r="H16" s="139" t="s">
        <v>564</v>
      </c>
      <c r="I16" s="139" t="s">
        <v>534</v>
      </c>
      <c r="J16" s="140" t="s">
        <v>84</v>
      </c>
      <c r="K16" s="140" t="s">
        <v>84</v>
      </c>
      <c r="L16" s="140" t="s">
        <v>84</v>
      </c>
      <c r="M16" s="140" t="s">
        <v>84</v>
      </c>
      <c r="N16" s="140" t="s">
        <v>84</v>
      </c>
    </row>
    <row r="17" spans="1:14" ht="50" x14ac:dyDescent="0.25">
      <c r="A17" s="177"/>
      <c r="B17" s="279" t="s">
        <v>401</v>
      </c>
      <c r="C17" s="139" t="s">
        <v>545</v>
      </c>
      <c r="D17" s="139" t="s">
        <v>386</v>
      </c>
      <c r="E17" s="139" t="s">
        <v>300</v>
      </c>
      <c r="F17" s="139" t="s">
        <v>407</v>
      </c>
      <c r="G17" s="139">
        <v>1</v>
      </c>
      <c r="H17" s="139" t="s">
        <v>565</v>
      </c>
      <c r="I17" s="139" t="s">
        <v>540</v>
      </c>
      <c r="J17" s="140" t="s">
        <v>84</v>
      </c>
      <c r="K17" s="140" t="s">
        <v>84</v>
      </c>
      <c r="L17" s="140" t="s">
        <v>84</v>
      </c>
      <c r="M17" s="140" t="s">
        <v>84</v>
      </c>
      <c r="N17" s="140" t="s">
        <v>84</v>
      </c>
    </row>
    <row r="18" spans="1:14" ht="62.5" x14ac:dyDescent="0.25">
      <c r="A18" s="177"/>
      <c r="B18" s="279" t="s">
        <v>401</v>
      </c>
      <c r="C18" s="139" t="s">
        <v>546</v>
      </c>
      <c r="D18" s="139" t="s">
        <v>387</v>
      </c>
      <c r="E18" s="139" t="s">
        <v>301</v>
      </c>
      <c r="F18" s="139" t="s">
        <v>407</v>
      </c>
      <c r="G18" s="139">
        <v>1</v>
      </c>
      <c r="H18" s="139" t="s">
        <v>566</v>
      </c>
      <c r="I18" s="139" t="s">
        <v>534</v>
      </c>
      <c r="J18" s="140" t="s">
        <v>84</v>
      </c>
      <c r="K18" s="140" t="s">
        <v>84</v>
      </c>
      <c r="L18" s="140" t="s">
        <v>84</v>
      </c>
      <c r="M18" s="140" t="s">
        <v>84</v>
      </c>
      <c r="N18" s="140" t="s">
        <v>84</v>
      </c>
    </row>
    <row r="19" spans="1:14" ht="75" x14ac:dyDescent="0.25">
      <c r="A19" s="177"/>
      <c r="B19" s="279" t="s">
        <v>401</v>
      </c>
      <c r="C19" s="139" t="s">
        <v>547</v>
      </c>
      <c r="D19" s="139" t="s">
        <v>388</v>
      </c>
      <c r="E19" s="139" t="s">
        <v>302</v>
      </c>
      <c r="F19" s="139" t="s">
        <v>407</v>
      </c>
      <c r="G19" s="139">
        <v>1</v>
      </c>
      <c r="H19" s="139" t="s">
        <v>567</v>
      </c>
      <c r="I19" s="139" t="s">
        <v>540</v>
      </c>
      <c r="J19" s="140" t="s">
        <v>84</v>
      </c>
      <c r="K19" s="140" t="s">
        <v>84</v>
      </c>
      <c r="L19" s="140" t="s">
        <v>84</v>
      </c>
      <c r="M19" s="140" t="s">
        <v>84</v>
      </c>
      <c r="N19" s="140" t="s">
        <v>84</v>
      </c>
    </row>
    <row r="20" spans="1:14" ht="62.5" x14ac:dyDescent="0.25">
      <c r="A20" s="177"/>
      <c r="B20" s="279" t="s">
        <v>401</v>
      </c>
      <c r="C20" s="139" t="s">
        <v>482</v>
      </c>
      <c r="D20" s="139" t="s">
        <v>389</v>
      </c>
      <c r="E20" s="139" t="s">
        <v>479</v>
      </c>
      <c r="F20" s="139" t="s">
        <v>407</v>
      </c>
      <c r="G20" s="139">
        <v>1</v>
      </c>
      <c r="H20" s="139" t="s">
        <v>568</v>
      </c>
      <c r="I20" s="139" t="s">
        <v>548</v>
      </c>
      <c r="J20" s="140" t="s">
        <v>84</v>
      </c>
      <c r="K20" s="140" t="s">
        <v>84</v>
      </c>
      <c r="L20" s="140" t="s">
        <v>84</v>
      </c>
      <c r="M20" s="140" t="s">
        <v>84</v>
      </c>
      <c r="N20" s="140" t="s">
        <v>84</v>
      </c>
    </row>
    <row r="21" spans="1:14" ht="62.5" x14ac:dyDescent="0.25">
      <c r="A21" s="178"/>
      <c r="B21" s="279" t="s">
        <v>401</v>
      </c>
      <c r="C21" s="139" t="s">
        <v>483</v>
      </c>
      <c r="D21" s="139" t="s">
        <v>390</v>
      </c>
      <c r="E21" s="139" t="s">
        <v>481</v>
      </c>
      <c r="F21" s="139" t="s">
        <v>407</v>
      </c>
      <c r="G21" s="139">
        <v>1</v>
      </c>
      <c r="H21" s="139" t="s">
        <v>569</v>
      </c>
      <c r="I21" s="139" t="s">
        <v>548</v>
      </c>
      <c r="J21" s="140" t="s">
        <v>84</v>
      </c>
      <c r="K21" s="140" t="s">
        <v>84</v>
      </c>
      <c r="L21" s="140" t="s">
        <v>84</v>
      </c>
      <c r="M21" s="140" t="s">
        <v>84</v>
      </c>
      <c r="N21" s="140" t="s">
        <v>84</v>
      </c>
    </row>
    <row r="22" spans="1:14" ht="25" x14ac:dyDescent="0.25">
      <c r="A22" s="176" t="s">
        <v>242</v>
      </c>
      <c r="B22" s="279" t="s">
        <v>401</v>
      </c>
      <c r="C22" s="139" t="s">
        <v>368</v>
      </c>
      <c r="D22" s="139" t="s">
        <v>255</v>
      </c>
      <c r="E22" s="139" t="s">
        <v>303</v>
      </c>
      <c r="F22" s="139" t="s">
        <v>407</v>
      </c>
      <c r="G22" s="139">
        <v>1</v>
      </c>
      <c r="H22" s="139" t="s">
        <v>404</v>
      </c>
      <c r="I22" s="139" t="s">
        <v>553</v>
      </c>
      <c r="J22" s="140" t="s">
        <v>84</v>
      </c>
      <c r="K22" s="140" t="s">
        <v>84</v>
      </c>
      <c r="L22" s="140" t="s">
        <v>84</v>
      </c>
      <c r="M22" s="140" t="s">
        <v>84</v>
      </c>
      <c r="N22" s="140" t="s">
        <v>84</v>
      </c>
    </row>
    <row r="23" spans="1:14" ht="51" customHeight="1" x14ac:dyDescent="0.25">
      <c r="A23" s="177"/>
      <c r="B23" s="279" t="s">
        <v>401</v>
      </c>
      <c r="C23" s="139" t="s">
        <v>554</v>
      </c>
      <c r="D23" s="139" t="s">
        <v>256</v>
      </c>
      <c r="E23" s="139" t="s">
        <v>304</v>
      </c>
      <c r="F23" s="139" t="s">
        <v>407</v>
      </c>
      <c r="G23" s="139">
        <v>1</v>
      </c>
      <c r="H23" s="139" t="s">
        <v>564</v>
      </c>
      <c r="I23" s="139" t="s">
        <v>553</v>
      </c>
      <c r="J23" s="140" t="s">
        <v>84</v>
      </c>
      <c r="K23" s="140" t="s">
        <v>84</v>
      </c>
      <c r="L23" s="140" t="s">
        <v>84</v>
      </c>
      <c r="M23" s="140" t="s">
        <v>84</v>
      </c>
      <c r="N23" s="140" t="s">
        <v>84</v>
      </c>
    </row>
    <row r="24" spans="1:14" ht="50" x14ac:dyDescent="0.25">
      <c r="A24" s="177"/>
      <c r="B24" s="279" t="s">
        <v>401</v>
      </c>
      <c r="C24" s="139" t="s">
        <v>571</v>
      </c>
      <c r="D24" s="139" t="s">
        <v>257</v>
      </c>
      <c r="E24" s="139" t="s">
        <v>305</v>
      </c>
      <c r="F24" s="139" t="s">
        <v>407</v>
      </c>
      <c r="G24" s="139">
        <v>1</v>
      </c>
      <c r="H24" s="139" t="s">
        <v>570</v>
      </c>
      <c r="I24" s="139" t="s">
        <v>553</v>
      </c>
      <c r="J24" s="140" t="s">
        <v>84</v>
      </c>
      <c r="K24" s="140" t="s">
        <v>84</v>
      </c>
      <c r="L24" s="140" t="s">
        <v>84</v>
      </c>
      <c r="M24" s="140" t="s">
        <v>84</v>
      </c>
      <c r="N24" s="140" t="s">
        <v>84</v>
      </c>
    </row>
    <row r="25" spans="1:14" ht="37.5" x14ac:dyDescent="0.25">
      <c r="A25" s="177"/>
      <c r="B25" s="279" t="s">
        <v>401</v>
      </c>
      <c r="C25" s="139" t="s">
        <v>572</v>
      </c>
      <c r="D25" s="139" t="s">
        <v>258</v>
      </c>
      <c r="E25" s="139" t="s">
        <v>306</v>
      </c>
      <c r="F25" s="139" t="s">
        <v>407</v>
      </c>
      <c r="G25" s="139">
        <v>1</v>
      </c>
      <c r="H25" s="139" t="s">
        <v>574</v>
      </c>
      <c r="I25" s="139" t="s">
        <v>553</v>
      </c>
      <c r="J25" s="140" t="s">
        <v>84</v>
      </c>
      <c r="K25" s="140" t="s">
        <v>84</v>
      </c>
      <c r="L25" s="140" t="s">
        <v>84</v>
      </c>
      <c r="M25" s="140" t="s">
        <v>84</v>
      </c>
      <c r="N25" s="140" t="s">
        <v>84</v>
      </c>
    </row>
    <row r="26" spans="1:14" ht="37.5" x14ac:dyDescent="0.25">
      <c r="A26" s="177"/>
      <c r="B26" s="279" t="s">
        <v>401</v>
      </c>
      <c r="C26" s="139" t="s">
        <v>573</v>
      </c>
      <c r="D26" s="139" t="s">
        <v>259</v>
      </c>
      <c r="E26" s="139" t="s">
        <v>307</v>
      </c>
      <c r="F26" s="139" t="s">
        <v>407</v>
      </c>
      <c r="G26" s="139">
        <v>1</v>
      </c>
      <c r="H26" s="139" t="s">
        <v>575</v>
      </c>
      <c r="I26" s="139" t="s">
        <v>553</v>
      </c>
      <c r="J26" s="140" t="s">
        <v>84</v>
      </c>
      <c r="K26" s="140" t="s">
        <v>84</v>
      </c>
      <c r="L26" s="140" t="s">
        <v>84</v>
      </c>
      <c r="M26" s="140" t="s">
        <v>84</v>
      </c>
      <c r="N26" s="140" t="s">
        <v>84</v>
      </c>
    </row>
    <row r="27" spans="1:14" ht="62.5" x14ac:dyDescent="0.25">
      <c r="A27" s="177"/>
      <c r="B27" s="279" t="s">
        <v>401</v>
      </c>
      <c r="C27" s="139" t="s">
        <v>577</v>
      </c>
      <c r="D27" s="139" t="s">
        <v>490</v>
      </c>
      <c r="E27" s="139" t="s">
        <v>308</v>
      </c>
      <c r="F27" s="139" t="s">
        <v>407</v>
      </c>
      <c r="G27" s="139">
        <v>1</v>
      </c>
      <c r="H27" s="139" t="s">
        <v>576</v>
      </c>
      <c r="I27" s="139" t="s">
        <v>553</v>
      </c>
      <c r="J27" s="140" t="s">
        <v>84</v>
      </c>
      <c r="K27" s="140" t="s">
        <v>84</v>
      </c>
      <c r="L27" s="140" t="s">
        <v>84</v>
      </c>
      <c r="M27" s="140" t="s">
        <v>84</v>
      </c>
      <c r="N27" s="140" t="s">
        <v>84</v>
      </c>
    </row>
    <row r="28" spans="1:14" ht="66" customHeight="1" x14ac:dyDescent="0.25">
      <c r="A28" s="177"/>
      <c r="B28" s="279" t="s">
        <v>401</v>
      </c>
      <c r="C28" s="139" t="s">
        <v>580</v>
      </c>
      <c r="D28" s="139" t="s">
        <v>512</v>
      </c>
      <c r="E28" s="139" t="s">
        <v>309</v>
      </c>
      <c r="F28" s="139" t="s">
        <v>407</v>
      </c>
      <c r="G28" s="139">
        <v>1</v>
      </c>
      <c r="H28" s="139" t="s">
        <v>578</v>
      </c>
      <c r="I28" s="139" t="s">
        <v>579</v>
      </c>
      <c r="J28" s="140" t="s">
        <v>84</v>
      </c>
      <c r="K28" s="140" t="s">
        <v>84</v>
      </c>
      <c r="L28" s="140" t="s">
        <v>84</v>
      </c>
      <c r="M28" s="140" t="s">
        <v>84</v>
      </c>
      <c r="N28" s="140" t="s">
        <v>84</v>
      </c>
    </row>
    <row r="29" spans="1:14" ht="66" customHeight="1" x14ac:dyDescent="0.25">
      <c r="A29" s="177"/>
      <c r="B29" s="279" t="s">
        <v>401</v>
      </c>
      <c r="C29" s="139" t="s">
        <v>487</v>
      </c>
      <c r="D29" s="139" t="s">
        <v>549</v>
      </c>
      <c r="E29" s="139" t="s">
        <v>484</v>
      </c>
      <c r="F29" s="139" t="s">
        <v>407</v>
      </c>
      <c r="G29" s="139">
        <v>1</v>
      </c>
      <c r="H29" s="139" t="s">
        <v>581</v>
      </c>
      <c r="I29" s="139" t="s">
        <v>585</v>
      </c>
      <c r="J29" s="140" t="s">
        <v>84</v>
      </c>
      <c r="K29" s="140" t="s">
        <v>84</v>
      </c>
      <c r="L29" s="140" t="s">
        <v>84</v>
      </c>
      <c r="M29" s="140" t="s">
        <v>84</v>
      </c>
      <c r="N29" s="140" t="s">
        <v>84</v>
      </c>
    </row>
    <row r="30" spans="1:14" ht="66" customHeight="1" x14ac:dyDescent="0.25">
      <c r="A30" s="177"/>
      <c r="B30" s="279" t="s">
        <v>401</v>
      </c>
      <c r="C30" s="139" t="s">
        <v>489</v>
      </c>
      <c r="D30" s="139" t="s">
        <v>550</v>
      </c>
      <c r="E30" s="139" t="s">
        <v>485</v>
      </c>
      <c r="F30" s="139" t="s">
        <v>407</v>
      </c>
      <c r="G30" s="139">
        <v>1</v>
      </c>
      <c r="H30" s="139" t="s">
        <v>582</v>
      </c>
      <c r="I30" s="139" t="s">
        <v>585</v>
      </c>
      <c r="J30" s="140" t="s">
        <v>84</v>
      </c>
      <c r="K30" s="140" t="s">
        <v>84</v>
      </c>
      <c r="L30" s="140" t="s">
        <v>84</v>
      </c>
      <c r="M30" s="140" t="s">
        <v>84</v>
      </c>
      <c r="N30" s="140" t="s">
        <v>84</v>
      </c>
    </row>
    <row r="31" spans="1:14" ht="66" customHeight="1" x14ac:dyDescent="0.25">
      <c r="A31" s="177"/>
      <c r="B31" s="279" t="s">
        <v>401</v>
      </c>
      <c r="C31" s="139" t="s">
        <v>488</v>
      </c>
      <c r="D31" s="139" t="s">
        <v>551</v>
      </c>
      <c r="E31" s="139" t="s">
        <v>486</v>
      </c>
      <c r="F31" s="139" t="s">
        <v>407</v>
      </c>
      <c r="G31" s="139">
        <v>1</v>
      </c>
      <c r="H31" s="139" t="s">
        <v>583</v>
      </c>
      <c r="I31" s="139" t="s">
        <v>585</v>
      </c>
      <c r="J31" s="140" t="s">
        <v>84</v>
      </c>
      <c r="K31" s="140" t="s">
        <v>84</v>
      </c>
      <c r="L31" s="140" t="s">
        <v>84</v>
      </c>
      <c r="M31" s="140" t="s">
        <v>84</v>
      </c>
      <c r="N31" s="140" t="s">
        <v>84</v>
      </c>
    </row>
    <row r="32" spans="1:14" ht="66" customHeight="1" x14ac:dyDescent="0.25">
      <c r="A32" s="178"/>
      <c r="B32" s="279" t="s">
        <v>401</v>
      </c>
      <c r="C32" s="139" t="s">
        <v>511</v>
      </c>
      <c r="D32" s="139" t="s">
        <v>552</v>
      </c>
      <c r="E32" s="139" t="s">
        <v>510</v>
      </c>
      <c r="F32" s="139" t="s">
        <v>407</v>
      </c>
      <c r="G32" s="139">
        <v>1</v>
      </c>
      <c r="H32" s="139" t="s">
        <v>584</v>
      </c>
      <c r="I32" s="139" t="s">
        <v>586</v>
      </c>
      <c r="J32" s="140" t="s">
        <v>84</v>
      </c>
      <c r="K32" s="140" t="s">
        <v>84</v>
      </c>
      <c r="L32" s="140" t="s">
        <v>84</v>
      </c>
      <c r="M32" s="140" t="s">
        <v>84</v>
      </c>
      <c r="N32" s="140" t="s">
        <v>84</v>
      </c>
    </row>
    <row r="33" spans="1:14" ht="25" x14ac:dyDescent="0.25">
      <c r="A33" s="176" t="s">
        <v>243</v>
      </c>
      <c r="B33" s="279" t="s">
        <v>401</v>
      </c>
      <c r="C33" s="139" t="s">
        <v>369</v>
      </c>
      <c r="D33" s="139" t="s">
        <v>260</v>
      </c>
      <c r="E33" s="139" t="s">
        <v>310</v>
      </c>
      <c r="F33" s="139" t="s">
        <v>407</v>
      </c>
      <c r="G33" s="139">
        <v>1</v>
      </c>
      <c r="H33" s="139" t="s">
        <v>589</v>
      </c>
      <c r="I33" s="139" t="s">
        <v>534</v>
      </c>
      <c r="J33" s="140" t="s">
        <v>84</v>
      </c>
      <c r="K33" s="140" t="s">
        <v>84</v>
      </c>
      <c r="L33" s="140" t="s">
        <v>84</v>
      </c>
      <c r="M33" s="140" t="s">
        <v>84</v>
      </c>
      <c r="N33" s="140" t="s">
        <v>84</v>
      </c>
    </row>
    <row r="34" spans="1:14" ht="37.5" x14ac:dyDescent="0.25">
      <c r="A34" s="177"/>
      <c r="B34" s="279" t="s">
        <v>401</v>
      </c>
      <c r="C34" s="139" t="s">
        <v>590</v>
      </c>
      <c r="D34" s="139" t="s">
        <v>261</v>
      </c>
      <c r="E34" s="139" t="s">
        <v>311</v>
      </c>
      <c r="F34" s="139" t="s">
        <v>407</v>
      </c>
      <c r="G34" s="139">
        <v>1</v>
      </c>
      <c r="H34" s="139" t="s">
        <v>564</v>
      </c>
      <c r="I34" s="139" t="s">
        <v>534</v>
      </c>
      <c r="J34" s="140" t="s">
        <v>84</v>
      </c>
      <c r="K34" s="140" t="s">
        <v>84</v>
      </c>
      <c r="L34" s="140" t="s">
        <v>84</v>
      </c>
      <c r="M34" s="140" t="s">
        <v>84</v>
      </c>
      <c r="N34" s="140" t="s">
        <v>84</v>
      </c>
    </row>
    <row r="35" spans="1:14" ht="50" x14ac:dyDescent="0.25">
      <c r="A35" s="177"/>
      <c r="B35" s="279" t="s">
        <v>401</v>
      </c>
      <c r="C35" s="139" t="s">
        <v>591</v>
      </c>
      <c r="D35" s="139" t="s">
        <v>262</v>
      </c>
      <c r="E35" s="139" t="s">
        <v>312</v>
      </c>
      <c r="F35" s="139" t="s">
        <v>407</v>
      </c>
      <c r="G35" s="139">
        <v>1</v>
      </c>
      <c r="H35" s="139" t="s">
        <v>593</v>
      </c>
      <c r="I35" s="139" t="s">
        <v>534</v>
      </c>
      <c r="J35" s="140" t="s">
        <v>84</v>
      </c>
      <c r="K35" s="140" t="s">
        <v>84</v>
      </c>
      <c r="L35" s="140" t="s">
        <v>84</v>
      </c>
      <c r="M35" s="140" t="s">
        <v>84</v>
      </c>
      <c r="N35" s="140" t="s">
        <v>84</v>
      </c>
    </row>
    <row r="36" spans="1:14" ht="50" x14ac:dyDescent="0.25">
      <c r="A36" s="177"/>
      <c r="B36" s="279" t="s">
        <v>401</v>
      </c>
      <c r="C36" s="139" t="s">
        <v>592</v>
      </c>
      <c r="D36" s="139" t="s">
        <v>515</v>
      </c>
      <c r="E36" s="139" t="s">
        <v>313</v>
      </c>
      <c r="F36" s="139" t="s">
        <v>407</v>
      </c>
      <c r="G36" s="139">
        <v>1</v>
      </c>
      <c r="H36" s="139" t="s">
        <v>594</v>
      </c>
      <c r="I36" s="139" t="s">
        <v>534</v>
      </c>
      <c r="J36" s="140" t="s">
        <v>84</v>
      </c>
      <c r="K36" s="140" t="s">
        <v>84</v>
      </c>
      <c r="L36" s="140" t="s">
        <v>84</v>
      </c>
      <c r="M36" s="140" t="s">
        <v>84</v>
      </c>
      <c r="N36" s="140" t="s">
        <v>84</v>
      </c>
    </row>
    <row r="37" spans="1:14" ht="37.5" x14ac:dyDescent="0.25">
      <c r="A37" s="177"/>
      <c r="B37" s="279" t="s">
        <v>401</v>
      </c>
      <c r="C37" s="139" t="s">
        <v>595</v>
      </c>
      <c r="D37" s="139" t="s">
        <v>517</v>
      </c>
      <c r="E37" s="139" t="s">
        <v>314</v>
      </c>
      <c r="F37" s="139" t="s">
        <v>407</v>
      </c>
      <c r="G37" s="139">
        <v>1</v>
      </c>
      <c r="H37" s="139" t="s">
        <v>597</v>
      </c>
      <c r="I37" s="139" t="s">
        <v>534</v>
      </c>
      <c r="J37" s="140" t="s">
        <v>84</v>
      </c>
      <c r="K37" s="140" t="s">
        <v>84</v>
      </c>
      <c r="L37" s="140" t="s">
        <v>84</v>
      </c>
      <c r="M37" s="140" t="s">
        <v>84</v>
      </c>
      <c r="N37" s="140" t="s">
        <v>84</v>
      </c>
    </row>
    <row r="38" spans="1:14" ht="62.5" x14ac:dyDescent="0.25">
      <c r="A38" s="177"/>
      <c r="B38" s="279" t="s">
        <v>401</v>
      </c>
      <c r="C38" s="139" t="s">
        <v>482</v>
      </c>
      <c r="D38" s="139" t="s">
        <v>587</v>
      </c>
      <c r="E38" s="139" t="s">
        <v>491</v>
      </c>
      <c r="F38" s="139" t="s">
        <v>407</v>
      </c>
      <c r="G38" s="139">
        <v>1</v>
      </c>
      <c r="H38" s="139" t="s">
        <v>596</v>
      </c>
      <c r="I38" s="139" t="s">
        <v>548</v>
      </c>
      <c r="J38" s="140" t="s">
        <v>84</v>
      </c>
      <c r="K38" s="140" t="s">
        <v>84</v>
      </c>
      <c r="L38" s="140" t="s">
        <v>84</v>
      </c>
      <c r="M38" s="140" t="s">
        <v>84</v>
      </c>
      <c r="N38" s="140" t="s">
        <v>84</v>
      </c>
    </row>
    <row r="39" spans="1:14" ht="100" x14ac:dyDescent="0.25">
      <c r="A39" s="178"/>
      <c r="B39" s="279" t="s">
        <v>401</v>
      </c>
      <c r="C39" s="139" t="s">
        <v>514</v>
      </c>
      <c r="D39" s="139" t="s">
        <v>588</v>
      </c>
      <c r="E39" s="139" t="s">
        <v>513</v>
      </c>
      <c r="F39" s="139" t="s">
        <v>407</v>
      </c>
      <c r="G39" s="139">
        <v>1</v>
      </c>
      <c r="H39" s="139" t="s">
        <v>598</v>
      </c>
      <c r="I39" s="139" t="s">
        <v>599</v>
      </c>
      <c r="J39" s="140" t="s">
        <v>84</v>
      </c>
      <c r="K39" s="140" t="s">
        <v>84</v>
      </c>
      <c r="L39" s="140" t="s">
        <v>84</v>
      </c>
      <c r="M39" s="140" t="s">
        <v>84</v>
      </c>
      <c r="N39" s="140" t="s">
        <v>84</v>
      </c>
    </row>
    <row r="40" spans="1:14" ht="34.75" customHeight="1" x14ac:dyDescent="0.25">
      <c r="A40" s="176" t="s">
        <v>244</v>
      </c>
      <c r="B40" s="279" t="s">
        <v>401</v>
      </c>
      <c r="C40" s="139" t="s">
        <v>370</v>
      </c>
      <c r="D40" s="139" t="s">
        <v>263</v>
      </c>
      <c r="E40" s="139" t="s">
        <v>317</v>
      </c>
      <c r="F40" s="139" t="s">
        <v>407</v>
      </c>
      <c r="G40" s="139">
        <v>1</v>
      </c>
      <c r="H40" s="139" t="s">
        <v>404</v>
      </c>
      <c r="I40" s="139" t="s">
        <v>602</v>
      </c>
      <c r="J40" s="140" t="s">
        <v>84</v>
      </c>
      <c r="K40" s="140" t="s">
        <v>84</v>
      </c>
      <c r="L40" s="140" t="s">
        <v>84</v>
      </c>
      <c r="M40" s="140" t="s">
        <v>84</v>
      </c>
      <c r="N40" s="140" t="s">
        <v>84</v>
      </c>
    </row>
    <row r="41" spans="1:14" ht="37.5" x14ac:dyDescent="0.25">
      <c r="A41" s="177"/>
      <c r="B41" s="279" t="s">
        <v>401</v>
      </c>
      <c r="C41" s="139" t="s">
        <v>600</v>
      </c>
      <c r="D41" s="139" t="s">
        <v>391</v>
      </c>
      <c r="E41" s="139" t="s">
        <v>315</v>
      </c>
      <c r="F41" s="139" t="s">
        <v>407</v>
      </c>
      <c r="G41" s="139">
        <v>1</v>
      </c>
      <c r="H41" s="139" t="s">
        <v>601</v>
      </c>
      <c r="I41" s="139" t="s">
        <v>605</v>
      </c>
      <c r="J41" s="140" t="s">
        <v>84</v>
      </c>
      <c r="K41" s="140" t="s">
        <v>84</v>
      </c>
      <c r="L41" s="140" t="s">
        <v>84</v>
      </c>
      <c r="M41" s="140" t="s">
        <v>84</v>
      </c>
      <c r="N41" s="140" t="s">
        <v>84</v>
      </c>
    </row>
    <row r="42" spans="1:14" ht="66" customHeight="1" x14ac:dyDescent="0.25">
      <c r="A42" s="177"/>
      <c r="B42" s="279" t="s">
        <v>401</v>
      </c>
      <c r="C42" s="139" t="s">
        <v>604</v>
      </c>
      <c r="D42" s="139" t="s">
        <v>392</v>
      </c>
      <c r="E42" s="139" t="s">
        <v>316</v>
      </c>
      <c r="F42" s="139" t="s">
        <v>407</v>
      </c>
      <c r="G42" s="139">
        <v>1</v>
      </c>
      <c r="H42" s="139" t="s">
        <v>603</v>
      </c>
      <c r="I42" s="139" t="s">
        <v>606</v>
      </c>
      <c r="J42" s="140" t="s">
        <v>84</v>
      </c>
      <c r="K42" s="140" t="s">
        <v>84</v>
      </c>
      <c r="L42" s="140" t="s">
        <v>84</v>
      </c>
      <c r="M42" s="140" t="s">
        <v>84</v>
      </c>
      <c r="N42" s="140" t="s">
        <v>84</v>
      </c>
    </row>
    <row r="43" spans="1:14" ht="66" customHeight="1" x14ac:dyDescent="0.25">
      <c r="A43" s="177"/>
      <c r="B43" s="279" t="s">
        <v>401</v>
      </c>
      <c r="C43" s="139" t="s">
        <v>496</v>
      </c>
      <c r="D43" s="139" t="s">
        <v>492</v>
      </c>
      <c r="E43" s="139" t="s">
        <v>516</v>
      </c>
      <c r="F43" s="139" t="s">
        <v>407</v>
      </c>
      <c r="G43" s="139">
        <v>1</v>
      </c>
      <c r="H43" s="139" t="s">
        <v>498</v>
      </c>
      <c r="I43" s="139" t="s">
        <v>607</v>
      </c>
      <c r="J43" s="140" t="s">
        <v>84</v>
      </c>
      <c r="K43" s="140" t="s">
        <v>84</v>
      </c>
      <c r="L43" s="140" t="s">
        <v>84</v>
      </c>
      <c r="M43" s="140" t="s">
        <v>84</v>
      </c>
      <c r="N43" s="140" t="s">
        <v>84</v>
      </c>
    </row>
    <row r="44" spans="1:14" ht="66" customHeight="1" x14ac:dyDescent="0.25">
      <c r="A44" s="178"/>
      <c r="B44" s="279" t="s">
        <v>401</v>
      </c>
      <c r="C44" s="139" t="s">
        <v>497</v>
      </c>
      <c r="D44" s="139" t="s">
        <v>494</v>
      </c>
      <c r="E44" s="139" t="s">
        <v>518</v>
      </c>
      <c r="F44" s="139" t="s">
        <v>407</v>
      </c>
      <c r="G44" s="139">
        <v>1</v>
      </c>
      <c r="H44" s="139" t="s">
        <v>499</v>
      </c>
      <c r="I44" s="139" t="s">
        <v>608</v>
      </c>
      <c r="J44" s="140" t="s">
        <v>84</v>
      </c>
      <c r="K44" s="140" t="s">
        <v>84</v>
      </c>
      <c r="L44" s="140" t="s">
        <v>84</v>
      </c>
      <c r="M44" s="140" t="s">
        <v>84</v>
      </c>
      <c r="N44" s="140" t="s">
        <v>84</v>
      </c>
    </row>
    <row r="45" spans="1:14" ht="52.75" customHeight="1" x14ac:dyDescent="0.2">
      <c r="A45" s="176" t="s">
        <v>245</v>
      </c>
      <c r="B45" s="279" t="s">
        <v>401</v>
      </c>
      <c r="C45" s="139" t="s">
        <v>371</v>
      </c>
      <c r="D45" s="139" t="s">
        <v>264</v>
      </c>
      <c r="E45" s="139" t="s">
        <v>318</v>
      </c>
      <c r="F45" s="139" t="s">
        <v>407</v>
      </c>
      <c r="G45" s="139">
        <v>1</v>
      </c>
      <c r="H45" s="139" t="s">
        <v>404</v>
      </c>
      <c r="I45" s="165" t="s">
        <v>612</v>
      </c>
      <c r="J45" s="140" t="s">
        <v>84</v>
      </c>
      <c r="K45" s="140" t="s">
        <v>84</v>
      </c>
      <c r="L45" s="140" t="s">
        <v>84</v>
      </c>
      <c r="M45" s="140" t="s">
        <v>84</v>
      </c>
      <c r="N45" s="140" t="s">
        <v>84</v>
      </c>
    </row>
    <row r="46" spans="1:14" ht="66" customHeight="1" x14ac:dyDescent="0.25">
      <c r="A46" s="177"/>
      <c r="B46" s="279" t="s">
        <v>401</v>
      </c>
      <c r="C46" s="139" t="s">
        <v>617</v>
      </c>
      <c r="D46" s="139" t="s">
        <v>265</v>
      </c>
      <c r="E46" s="139" t="s">
        <v>320</v>
      </c>
      <c r="F46" s="139" t="s">
        <v>407</v>
      </c>
      <c r="G46" s="139">
        <v>1</v>
      </c>
      <c r="H46" s="139" t="s">
        <v>614</v>
      </c>
      <c r="I46" s="139" t="s">
        <v>613</v>
      </c>
      <c r="J46" s="140" t="s">
        <v>84</v>
      </c>
      <c r="K46" s="140" t="s">
        <v>84</v>
      </c>
      <c r="L46" s="140" t="s">
        <v>84</v>
      </c>
      <c r="M46" s="140" t="s">
        <v>84</v>
      </c>
      <c r="N46" s="140" t="s">
        <v>84</v>
      </c>
    </row>
    <row r="47" spans="1:14" ht="66" customHeight="1" x14ac:dyDescent="0.25">
      <c r="A47" s="177"/>
      <c r="B47" s="279" t="s">
        <v>401</v>
      </c>
      <c r="C47" s="139" t="s">
        <v>616</v>
      </c>
      <c r="D47" s="139" t="s">
        <v>609</v>
      </c>
      <c r="E47" s="139" t="s">
        <v>319</v>
      </c>
      <c r="F47" s="139" t="s">
        <v>407</v>
      </c>
      <c r="G47" s="139">
        <v>1</v>
      </c>
      <c r="H47" s="139" t="s">
        <v>615</v>
      </c>
      <c r="I47" s="139" t="s">
        <v>613</v>
      </c>
      <c r="J47" s="140" t="s">
        <v>84</v>
      </c>
      <c r="K47" s="140" t="s">
        <v>84</v>
      </c>
      <c r="L47" s="140" t="s">
        <v>84</v>
      </c>
      <c r="M47" s="140" t="s">
        <v>84</v>
      </c>
      <c r="N47" s="140" t="s">
        <v>84</v>
      </c>
    </row>
    <row r="48" spans="1:14" ht="66" customHeight="1" x14ac:dyDescent="0.25">
      <c r="A48" s="177"/>
      <c r="B48" s="279" t="s">
        <v>401</v>
      </c>
      <c r="C48" s="139" t="s">
        <v>496</v>
      </c>
      <c r="D48" s="139" t="s">
        <v>610</v>
      </c>
      <c r="E48" s="139" t="s">
        <v>493</v>
      </c>
      <c r="F48" s="139" t="s">
        <v>407</v>
      </c>
      <c r="G48" s="139">
        <v>1</v>
      </c>
      <c r="H48" s="139" t="s">
        <v>498</v>
      </c>
      <c r="I48" s="139" t="s">
        <v>607</v>
      </c>
      <c r="J48" s="140" t="s">
        <v>84</v>
      </c>
      <c r="K48" s="140" t="s">
        <v>84</v>
      </c>
      <c r="L48" s="140" t="s">
        <v>84</v>
      </c>
      <c r="M48" s="140" t="s">
        <v>84</v>
      </c>
      <c r="N48" s="140" t="s">
        <v>84</v>
      </c>
    </row>
    <row r="49" spans="1:14" ht="66" customHeight="1" x14ac:dyDescent="0.25">
      <c r="A49" s="178"/>
      <c r="B49" s="279" t="s">
        <v>401</v>
      </c>
      <c r="C49" s="139" t="s">
        <v>497</v>
      </c>
      <c r="D49" s="139" t="s">
        <v>611</v>
      </c>
      <c r="E49" s="139" t="s">
        <v>495</v>
      </c>
      <c r="F49" s="139" t="s">
        <v>407</v>
      </c>
      <c r="G49" s="139">
        <v>1</v>
      </c>
      <c r="H49" s="139" t="s">
        <v>499</v>
      </c>
      <c r="I49" s="139" t="s">
        <v>608</v>
      </c>
      <c r="J49" s="140" t="s">
        <v>84</v>
      </c>
      <c r="K49" s="140" t="s">
        <v>84</v>
      </c>
      <c r="L49" s="140" t="s">
        <v>84</v>
      </c>
      <c r="M49" s="140" t="s">
        <v>84</v>
      </c>
      <c r="N49" s="140" t="s">
        <v>84</v>
      </c>
    </row>
    <row r="50" spans="1:14" ht="66" customHeight="1" x14ac:dyDescent="0.25">
      <c r="A50" s="176" t="s">
        <v>246</v>
      </c>
      <c r="B50" s="279" t="s">
        <v>401</v>
      </c>
      <c r="C50" s="139" t="s">
        <v>618</v>
      </c>
      <c r="D50" s="139" t="s">
        <v>266</v>
      </c>
      <c r="E50" s="139" t="s">
        <v>321</v>
      </c>
      <c r="F50" s="139" t="s">
        <v>407</v>
      </c>
      <c r="G50" s="139">
        <v>1</v>
      </c>
      <c r="H50" s="139" t="s">
        <v>621</v>
      </c>
      <c r="I50" s="139" t="s">
        <v>622</v>
      </c>
      <c r="J50" s="140" t="s">
        <v>84</v>
      </c>
      <c r="K50" s="140" t="s">
        <v>84</v>
      </c>
      <c r="L50" s="140" t="s">
        <v>84</v>
      </c>
      <c r="M50" s="140" t="s">
        <v>84</v>
      </c>
      <c r="N50" s="140" t="s">
        <v>84</v>
      </c>
    </row>
    <row r="51" spans="1:14" ht="66" customHeight="1" x14ac:dyDescent="0.25">
      <c r="A51" s="177"/>
      <c r="B51" s="279" t="s">
        <v>401</v>
      </c>
      <c r="C51" s="139" t="s">
        <v>619</v>
      </c>
      <c r="D51" s="139" t="s">
        <v>393</v>
      </c>
      <c r="E51" s="139" t="s">
        <v>322</v>
      </c>
      <c r="F51" s="139" t="s">
        <v>407</v>
      </c>
      <c r="G51" s="139">
        <v>1</v>
      </c>
      <c r="H51" s="139" t="s">
        <v>620</v>
      </c>
      <c r="I51" s="139" t="s">
        <v>623</v>
      </c>
      <c r="J51" s="140" t="s">
        <v>84</v>
      </c>
      <c r="K51" s="140" t="s">
        <v>84</v>
      </c>
      <c r="L51" s="140" t="s">
        <v>84</v>
      </c>
      <c r="M51" s="140" t="s">
        <v>84</v>
      </c>
      <c r="N51" s="140" t="s">
        <v>84</v>
      </c>
    </row>
    <row r="52" spans="1:14" ht="79.25" customHeight="1" x14ac:dyDescent="0.25">
      <c r="A52" s="178"/>
      <c r="B52" s="279" t="s">
        <v>401</v>
      </c>
      <c r="C52" s="139" t="s">
        <v>372</v>
      </c>
      <c r="D52" s="139" t="s">
        <v>500</v>
      </c>
      <c r="E52" s="139" t="s">
        <v>624</v>
      </c>
      <c r="F52" s="139" t="s">
        <v>407</v>
      </c>
      <c r="G52" s="139">
        <v>1</v>
      </c>
      <c r="H52" s="139" t="s">
        <v>625</v>
      </c>
      <c r="I52" s="139" t="s">
        <v>623</v>
      </c>
      <c r="J52" s="140" t="s">
        <v>84</v>
      </c>
      <c r="K52" s="140" t="s">
        <v>84</v>
      </c>
      <c r="L52" s="140" t="s">
        <v>84</v>
      </c>
      <c r="M52" s="140" t="s">
        <v>84</v>
      </c>
      <c r="N52" s="140" t="s">
        <v>84</v>
      </c>
    </row>
    <row r="53" spans="1:14" ht="66" customHeight="1" x14ac:dyDescent="0.25">
      <c r="A53" s="176" t="s">
        <v>247</v>
      </c>
      <c r="B53" s="279" t="s">
        <v>401</v>
      </c>
      <c r="C53" s="139" t="s">
        <v>373</v>
      </c>
      <c r="D53" s="139" t="s">
        <v>267</v>
      </c>
      <c r="E53" s="139" t="s">
        <v>323</v>
      </c>
      <c r="F53" s="139" t="s">
        <v>407</v>
      </c>
      <c r="G53" s="139">
        <v>1</v>
      </c>
      <c r="H53" s="139" t="s">
        <v>621</v>
      </c>
      <c r="I53" s="139" t="s">
        <v>627</v>
      </c>
      <c r="J53" s="140" t="s">
        <v>84</v>
      </c>
      <c r="K53" s="140" t="s">
        <v>84</v>
      </c>
      <c r="L53" s="140" t="s">
        <v>84</v>
      </c>
      <c r="M53" s="140" t="s">
        <v>84</v>
      </c>
      <c r="N53" s="140" t="s">
        <v>84</v>
      </c>
    </row>
    <row r="54" spans="1:14" ht="79.25" customHeight="1" x14ac:dyDescent="0.25">
      <c r="A54" s="177"/>
      <c r="B54" s="279" t="s">
        <v>401</v>
      </c>
      <c r="C54" s="139" t="s">
        <v>374</v>
      </c>
      <c r="D54" s="139" t="s">
        <v>394</v>
      </c>
      <c r="E54" s="139" t="s">
        <v>324</v>
      </c>
      <c r="F54" s="139" t="s">
        <v>407</v>
      </c>
      <c r="G54" s="139">
        <v>1</v>
      </c>
      <c r="H54" s="139" t="s">
        <v>626</v>
      </c>
      <c r="I54" s="139" t="s">
        <v>627</v>
      </c>
      <c r="J54" s="140" t="s">
        <v>84</v>
      </c>
      <c r="K54" s="140" t="s">
        <v>84</v>
      </c>
      <c r="L54" s="140" t="s">
        <v>84</v>
      </c>
      <c r="M54" s="140" t="s">
        <v>84</v>
      </c>
      <c r="N54" s="140" t="s">
        <v>84</v>
      </c>
    </row>
    <row r="55" spans="1:14" ht="92.4" customHeight="1" x14ac:dyDescent="0.25">
      <c r="A55" s="176" t="s">
        <v>248</v>
      </c>
      <c r="B55" s="279" t="s">
        <v>401</v>
      </c>
      <c r="C55" s="139" t="s">
        <v>632</v>
      </c>
      <c r="D55" s="139" t="s">
        <v>268</v>
      </c>
      <c r="E55" s="139" t="s">
        <v>325</v>
      </c>
      <c r="F55" s="139" t="s">
        <v>407</v>
      </c>
      <c r="G55" s="139">
        <v>1</v>
      </c>
      <c r="H55" s="139" t="s">
        <v>630</v>
      </c>
      <c r="I55" s="139" t="s">
        <v>628</v>
      </c>
      <c r="J55" s="140" t="s">
        <v>84</v>
      </c>
      <c r="K55" s="140" t="s">
        <v>84</v>
      </c>
      <c r="L55" s="140" t="s">
        <v>84</v>
      </c>
      <c r="M55" s="140" t="s">
        <v>84</v>
      </c>
      <c r="N55" s="140" t="s">
        <v>84</v>
      </c>
    </row>
    <row r="56" spans="1:14" ht="92.4" customHeight="1" x14ac:dyDescent="0.25">
      <c r="A56" s="178"/>
      <c r="B56" s="279" t="s">
        <v>401</v>
      </c>
      <c r="C56" s="139" t="s">
        <v>633</v>
      </c>
      <c r="D56" s="139" t="s">
        <v>395</v>
      </c>
      <c r="E56" s="139" t="s">
        <v>326</v>
      </c>
      <c r="F56" s="139" t="s">
        <v>407</v>
      </c>
      <c r="G56" s="139">
        <v>1</v>
      </c>
      <c r="H56" s="139" t="s">
        <v>631</v>
      </c>
      <c r="I56" s="139" t="s">
        <v>629</v>
      </c>
      <c r="J56" s="140" t="s">
        <v>84</v>
      </c>
      <c r="K56" s="140" t="s">
        <v>84</v>
      </c>
      <c r="L56" s="140" t="s">
        <v>84</v>
      </c>
      <c r="M56" s="140" t="s">
        <v>84</v>
      </c>
      <c r="N56" s="140" t="s">
        <v>84</v>
      </c>
    </row>
    <row r="57" spans="1:14" ht="52.75" customHeight="1" x14ac:dyDescent="0.25">
      <c r="A57" s="176" t="s">
        <v>284</v>
      </c>
      <c r="B57" s="279" t="s">
        <v>401</v>
      </c>
      <c r="C57" s="139" t="s">
        <v>375</v>
      </c>
      <c r="D57" s="139" t="s">
        <v>396</v>
      </c>
      <c r="E57" s="139" t="s">
        <v>327</v>
      </c>
      <c r="F57" s="139" t="s">
        <v>407</v>
      </c>
      <c r="G57" s="139">
        <v>1</v>
      </c>
      <c r="H57" s="139" t="s">
        <v>636</v>
      </c>
      <c r="I57" s="139" t="s">
        <v>637</v>
      </c>
      <c r="J57" s="140" t="s">
        <v>84</v>
      </c>
      <c r="K57" s="140" t="s">
        <v>84</v>
      </c>
      <c r="L57" s="140" t="s">
        <v>84</v>
      </c>
      <c r="M57" s="140" t="s">
        <v>84</v>
      </c>
      <c r="N57" s="140" t="s">
        <v>84</v>
      </c>
    </row>
    <row r="58" spans="1:14" ht="66" customHeight="1" x14ac:dyDescent="0.25">
      <c r="A58" s="177"/>
      <c r="B58" s="279" t="s">
        <v>401</v>
      </c>
      <c r="C58" s="139" t="s">
        <v>376</v>
      </c>
      <c r="D58" s="139" t="s">
        <v>397</v>
      </c>
      <c r="E58" s="139" t="s">
        <v>328</v>
      </c>
      <c r="F58" s="139" t="s">
        <v>407</v>
      </c>
      <c r="G58" s="139">
        <v>1</v>
      </c>
      <c r="H58" s="139" t="s">
        <v>634</v>
      </c>
      <c r="I58" s="139" t="s">
        <v>638</v>
      </c>
      <c r="J58" s="140" t="s">
        <v>84</v>
      </c>
      <c r="K58" s="140" t="s">
        <v>84</v>
      </c>
      <c r="L58" s="140" t="s">
        <v>84</v>
      </c>
      <c r="M58" s="140" t="s">
        <v>84</v>
      </c>
      <c r="N58" s="140" t="s">
        <v>84</v>
      </c>
    </row>
    <row r="59" spans="1:14" ht="66" customHeight="1" x14ac:dyDescent="0.25">
      <c r="A59" s="178"/>
      <c r="B59" s="279" t="s">
        <v>401</v>
      </c>
      <c r="C59" s="139" t="s">
        <v>377</v>
      </c>
      <c r="D59" s="139" t="s">
        <v>640</v>
      </c>
      <c r="E59" s="139" t="s">
        <v>329</v>
      </c>
      <c r="F59" s="139" t="s">
        <v>407</v>
      </c>
      <c r="G59" s="139">
        <v>1</v>
      </c>
      <c r="H59" s="139" t="s">
        <v>635</v>
      </c>
      <c r="I59" s="139" t="s">
        <v>639</v>
      </c>
      <c r="J59" s="140" t="s">
        <v>84</v>
      </c>
      <c r="K59" s="140" t="s">
        <v>84</v>
      </c>
      <c r="L59" s="140" t="s">
        <v>84</v>
      </c>
      <c r="M59" s="140" t="s">
        <v>84</v>
      </c>
      <c r="N59" s="140" t="s">
        <v>84</v>
      </c>
    </row>
    <row r="60" spans="1:14" ht="39.65" customHeight="1" x14ac:dyDescent="0.25">
      <c r="A60" s="176" t="s">
        <v>285</v>
      </c>
      <c r="B60" s="279" t="s">
        <v>401</v>
      </c>
      <c r="C60" s="139" t="s">
        <v>378</v>
      </c>
      <c r="D60" s="139" t="s">
        <v>402</v>
      </c>
      <c r="E60" s="139" t="s">
        <v>330</v>
      </c>
      <c r="F60" s="139" t="s">
        <v>407</v>
      </c>
      <c r="G60" s="139">
        <v>1</v>
      </c>
      <c r="H60" s="139" t="s">
        <v>641</v>
      </c>
      <c r="I60" s="139" t="s">
        <v>644</v>
      </c>
      <c r="J60" s="140" t="s">
        <v>84</v>
      </c>
      <c r="K60" s="140" t="s">
        <v>84</v>
      </c>
      <c r="L60" s="140" t="s">
        <v>84</v>
      </c>
      <c r="M60" s="140" t="s">
        <v>84</v>
      </c>
      <c r="N60" s="140" t="s">
        <v>84</v>
      </c>
    </row>
    <row r="61" spans="1:14" ht="79.25" customHeight="1" x14ac:dyDescent="0.25">
      <c r="A61" s="178"/>
      <c r="B61" s="279" t="s">
        <v>401</v>
      </c>
      <c r="C61" s="139" t="s">
        <v>643</v>
      </c>
      <c r="D61" s="139" t="s">
        <v>403</v>
      </c>
      <c r="E61" s="139" t="s">
        <v>331</v>
      </c>
      <c r="F61" s="139" t="s">
        <v>407</v>
      </c>
      <c r="G61" s="139">
        <v>1</v>
      </c>
      <c r="H61" s="139" t="s">
        <v>642</v>
      </c>
      <c r="I61" s="139" t="s">
        <v>645</v>
      </c>
      <c r="J61" s="140" t="s">
        <v>84</v>
      </c>
      <c r="K61" s="140" t="s">
        <v>84</v>
      </c>
      <c r="L61" s="140" t="s">
        <v>84</v>
      </c>
      <c r="M61" s="140" t="s">
        <v>84</v>
      </c>
      <c r="N61" s="140" t="s">
        <v>84</v>
      </c>
    </row>
    <row r="62" spans="1:14" ht="52.75" customHeight="1" x14ac:dyDescent="0.25">
      <c r="A62" s="176" t="s">
        <v>286</v>
      </c>
      <c r="B62" s="279" t="s">
        <v>401</v>
      </c>
      <c r="C62" s="139" t="s">
        <v>648</v>
      </c>
      <c r="D62" s="139" t="s">
        <v>398</v>
      </c>
      <c r="E62" s="139" t="s">
        <v>332</v>
      </c>
      <c r="F62" s="139" t="s">
        <v>407</v>
      </c>
      <c r="G62" s="139">
        <v>1</v>
      </c>
      <c r="H62" s="139" t="s">
        <v>650</v>
      </c>
      <c r="I62" s="139" t="s">
        <v>646</v>
      </c>
      <c r="J62" s="140" t="s">
        <v>84</v>
      </c>
      <c r="K62" s="140" t="s">
        <v>84</v>
      </c>
      <c r="L62" s="140" t="s">
        <v>84</v>
      </c>
      <c r="M62" s="140" t="s">
        <v>84</v>
      </c>
      <c r="N62" s="140" t="s">
        <v>84</v>
      </c>
    </row>
    <row r="63" spans="1:14" ht="52.75" customHeight="1" x14ac:dyDescent="0.25">
      <c r="A63" s="177"/>
      <c r="B63" s="279" t="s">
        <v>401</v>
      </c>
      <c r="C63" s="139" t="s">
        <v>649</v>
      </c>
      <c r="D63" s="139" t="s">
        <v>399</v>
      </c>
      <c r="E63" s="139" t="s">
        <v>333</v>
      </c>
      <c r="F63" s="139" t="s">
        <v>407</v>
      </c>
      <c r="G63" s="139">
        <v>1</v>
      </c>
      <c r="H63" s="139" t="s">
        <v>651</v>
      </c>
      <c r="I63" s="139" t="s">
        <v>647</v>
      </c>
      <c r="J63" s="140" t="s">
        <v>84</v>
      </c>
      <c r="K63" s="140" t="s">
        <v>84</v>
      </c>
      <c r="L63" s="140" t="s">
        <v>84</v>
      </c>
      <c r="M63" s="140" t="s">
        <v>84</v>
      </c>
      <c r="N63" s="140" t="s">
        <v>84</v>
      </c>
    </row>
    <row r="64" spans="1:14" ht="79.25" customHeight="1" x14ac:dyDescent="0.25">
      <c r="A64" s="177"/>
      <c r="B64" s="279" t="s">
        <v>401</v>
      </c>
      <c r="C64" s="139" t="s">
        <v>659</v>
      </c>
      <c r="D64" s="139" t="s">
        <v>400</v>
      </c>
      <c r="E64" s="139" t="s">
        <v>334</v>
      </c>
      <c r="F64" s="139" t="s">
        <v>407</v>
      </c>
      <c r="G64" s="139">
        <v>1</v>
      </c>
      <c r="H64" s="139" t="s">
        <v>656</v>
      </c>
      <c r="I64" s="139" t="s">
        <v>655</v>
      </c>
      <c r="J64" s="140" t="s">
        <v>84</v>
      </c>
      <c r="K64" s="140" t="s">
        <v>84</v>
      </c>
      <c r="L64" s="140" t="s">
        <v>84</v>
      </c>
      <c r="M64" s="140" t="s">
        <v>84</v>
      </c>
      <c r="N64" s="140" t="s">
        <v>84</v>
      </c>
    </row>
    <row r="65" spans="1:14" ht="66" customHeight="1" x14ac:dyDescent="0.25">
      <c r="A65" s="177"/>
      <c r="B65" s="279" t="s">
        <v>401</v>
      </c>
      <c r="C65" s="139" t="s">
        <v>660</v>
      </c>
      <c r="D65" s="139" t="s">
        <v>652</v>
      </c>
      <c r="E65" s="139" t="s">
        <v>335</v>
      </c>
      <c r="F65" s="139" t="s">
        <v>407</v>
      </c>
      <c r="G65" s="139">
        <v>1</v>
      </c>
      <c r="H65" s="139" t="s">
        <v>657</v>
      </c>
      <c r="I65" s="139" t="s">
        <v>655</v>
      </c>
      <c r="J65" s="140" t="s">
        <v>84</v>
      </c>
      <c r="K65" s="140" t="s">
        <v>84</v>
      </c>
      <c r="L65" s="140" t="s">
        <v>84</v>
      </c>
      <c r="M65" s="140" t="s">
        <v>84</v>
      </c>
      <c r="N65" s="140" t="s">
        <v>84</v>
      </c>
    </row>
    <row r="66" spans="1:14" ht="66" customHeight="1" x14ac:dyDescent="0.25">
      <c r="A66" s="177"/>
      <c r="B66" s="279" t="s">
        <v>401</v>
      </c>
      <c r="C66" s="139" t="s">
        <v>661</v>
      </c>
      <c r="D66" s="139" t="s">
        <v>653</v>
      </c>
      <c r="E66" s="139" t="s">
        <v>336</v>
      </c>
      <c r="F66" s="139" t="s">
        <v>407</v>
      </c>
      <c r="G66" s="139">
        <v>1</v>
      </c>
      <c r="H66" s="139" t="s">
        <v>663</v>
      </c>
      <c r="I66" s="139" t="s">
        <v>658</v>
      </c>
      <c r="J66" s="140" t="s">
        <v>84</v>
      </c>
      <c r="K66" s="140" t="s">
        <v>84</v>
      </c>
      <c r="L66" s="140" t="s">
        <v>84</v>
      </c>
      <c r="M66" s="140" t="s">
        <v>84</v>
      </c>
      <c r="N66" s="140" t="s">
        <v>84</v>
      </c>
    </row>
    <row r="67" spans="1:14" ht="66" customHeight="1" x14ac:dyDescent="0.25">
      <c r="A67" s="177"/>
      <c r="B67" s="279" t="s">
        <v>401</v>
      </c>
      <c r="C67" s="139" t="s">
        <v>662</v>
      </c>
      <c r="D67" s="139" t="s">
        <v>654</v>
      </c>
      <c r="E67" s="139" t="s">
        <v>337</v>
      </c>
      <c r="F67" s="139" t="s">
        <v>407</v>
      </c>
      <c r="G67" s="139">
        <v>1</v>
      </c>
      <c r="H67" s="139" t="s">
        <v>664</v>
      </c>
      <c r="I67" s="139" t="s">
        <v>646</v>
      </c>
      <c r="J67" s="140" t="s">
        <v>84</v>
      </c>
      <c r="K67" s="140" t="s">
        <v>84</v>
      </c>
      <c r="L67" s="140" t="s">
        <v>84</v>
      </c>
      <c r="M67" s="140" t="s">
        <v>84</v>
      </c>
      <c r="N67" s="140" t="s">
        <v>84</v>
      </c>
    </row>
    <row r="68" spans="1:14" ht="94.5" customHeight="1" x14ac:dyDescent="0.25">
      <c r="A68" s="177"/>
      <c r="B68" s="279" t="s">
        <v>401</v>
      </c>
      <c r="C68" s="139" t="s">
        <v>675</v>
      </c>
      <c r="D68" s="139" t="s">
        <v>665</v>
      </c>
      <c r="E68" s="139" t="s">
        <v>338</v>
      </c>
      <c r="F68" s="139" t="s">
        <v>407</v>
      </c>
      <c r="G68" s="139">
        <v>1</v>
      </c>
      <c r="H68" s="139" t="s">
        <v>676</v>
      </c>
      <c r="I68" s="139" t="s">
        <v>674</v>
      </c>
      <c r="J68" s="140" t="s">
        <v>84</v>
      </c>
      <c r="K68" s="140" t="s">
        <v>84</v>
      </c>
      <c r="L68" s="140" t="s">
        <v>84</v>
      </c>
      <c r="M68" s="140" t="s">
        <v>84</v>
      </c>
      <c r="N68" s="140" t="s">
        <v>84</v>
      </c>
    </row>
    <row r="69" spans="1:14" ht="66" customHeight="1" x14ac:dyDescent="0.25">
      <c r="A69" s="177"/>
      <c r="B69" s="279" t="s">
        <v>401</v>
      </c>
      <c r="C69" s="139" t="s">
        <v>677</v>
      </c>
      <c r="D69" s="139" t="s">
        <v>666</v>
      </c>
      <c r="E69" s="139" t="s">
        <v>339</v>
      </c>
      <c r="F69" s="139" t="s">
        <v>407</v>
      </c>
      <c r="G69" s="139">
        <v>1</v>
      </c>
      <c r="H69" s="139" t="s">
        <v>679</v>
      </c>
      <c r="I69" s="139" t="s">
        <v>655</v>
      </c>
      <c r="J69" s="140" t="s">
        <v>84</v>
      </c>
      <c r="K69" s="140" t="s">
        <v>84</v>
      </c>
      <c r="L69" s="140" t="s">
        <v>84</v>
      </c>
      <c r="M69" s="140" t="s">
        <v>84</v>
      </c>
      <c r="N69" s="140" t="s">
        <v>84</v>
      </c>
    </row>
    <row r="70" spans="1:14" ht="78" customHeight="1" x14ac:dyDescent="0.25">
      <c r="A70" s="177"/>
      <c r="B70" s="279" t="s">
        <v>401</v>
      </c>
      <c r="C70" s="139" t="s">
        <v>678</v>
      </c>
      <c r="D70" s="139" t="s">
        <v>667</v>
      </c>
      <c r="E70" s="139" t="s">
        <v>340</v>
      </c>
      <c r="F70" s="139" t="s">
        <v>407</v>
      </c>
      <c r="G70" s="139">
        <v>1</v>
      </c>
      <c r="H70" s="139" t="s">
        <v>680</v>
      </c>
      <c r="I70" s="139" t="s">
        <v>646</v>
      </c>
      <c r="J70" s="140" t="s">
        <v>84</v>
      </c>
      <c r="K70" s="140" t="s">
        <v>84</v>
      </c>
      <c r="L70" s="140" t="s">
        <v>84</v>
      </c>
      <c r="M70" s="140" t="s">
        <v>84</v>
      </c>
      <c r="N70" s="140" t="s">
        <v>84</v>
      </c>
    </row>
    <row r="71" spans="1:14" ht="90" customHeight="1" x14ac:dyDescent="0.25">
      <c r="A71" s="177"/>
      <c r="B71" s="279" t="s">
        <v>401</v>
      </c>
      <c r="C71" s="139" t="s">
        <v>682</v>
      </c>
      <c r="D71" s="139" t="s">
        <v>668</v>
      </c>
      <c r="E71" s="139" t="s">
        <v>341</v>
      </c>
      <c r="F71" s="139" t="s">
        <v>407</v>
      </c>
      <c r="G71" s="139">
        <v>1</v>
      </c>
      <c r="H71" s="139" t="s">
        <v>684</v>
      </c>
      <c r="I71" s="139" t="s">
        <v>681</v>
      </c>
      <c r="J71" s="140" t="s">
        <v>84</v>
      </c>
      <c r="K71" s="140" t="s">
        <v>84</v>
      </c>
      <c r="L71" s="140" t="s">
        <v>84</v>
      </c>
      <c r="M71" s="140" t="s">
        <v>84</v>
      </c>
      <c r="N71" s="140" t="s">
        <v>84</v>
      </c>
    </row>
    <row r="72" spans="1:14" ht="92.4" customHeight="1" x14ac:dyDescent="0.25">
      <c r="A72" s="177"/>
      <c r="B72" s="279" t="s">
        <v>401</v>
      </c>
      <c r="C72" s="139" t="s">
        <v>683</v>
      </c>
      <c r="D72" s="139" t="s">
        <v>669</v>
      </c>
      <c r="E72" s="139" t="s">
        <v>342</v>
      </c>
      <c r="F72" s="139" t="s">
        <v>407</v>
      </c>
      <c r="G72" s="139">
        <v>1</v>
      </c>
      <c r="H72" s="139" t="s">
        <v>685</v>
      </c>
      <c r="I72" s="139" t="s">
        <v>658</v>
      </c>
      <c r="J72" s="140" t="s">
        <v>84</v>
      </c>
      <c r="K72" s="140" t="s">
        <v>84</v>
      </c>
      <c r="L72" s="140" t="s">
        <v>84</v>
      </c>
      <c r="M72" s="140" t="s">
        <v>84</v>
      </c>
      <c r="N72" s="140" t="s">
        <v>84</v>
      </c>
    </row>
    <row r="73" spans="1:14" ht="92.4" customHeight="1" x14ac:dyDescent="0.25">
      <c r="A73" s="177"/>
      <c r="B73" s="279" t="s">
        <v>401</v>
      </c>
      <c r="C73" s="139" t="s">
        <v>687</v>
      </c>
      <c r="D73" s="139" t="s">
        <v>670</v>
      </c>
      <c r="E73" s="139" t="s">
        <v>343</v>
      </c>
      <c r="F73" s="139" t="s">
        <v>407</v>
      </c>
      <c r="G73" s="139">
        <v>1</v>
      </c>
      <c r="H73" s="139" t="s">
        <v>688</v>
      </c>
      <c r="I73" s="139" t="s">
        <v>686</v>
      </c>
      <c r="J73" s="140" t="s">
        <v>84</v>
      </c>
      <c r="K73" s="140" t="s">
        <v>84</v>
      </c>
      <c r="L73" s="140" t="s">
        <v>84</v>
      </c>
      <c r="M73" s="140" t="s">
        <v>84</v>
      </c>
      <c r="N73" s="140" t="s">
        <v>84</v>
      </c>
    </row>
    <row r="74" spans="1:14" ht="89.5" customHeight="1" x14ac:dyDescent="0.25">
      <c r="A74" s="177"/>
      <c r="B74" s="279" t="s">
        <v>401</v>
      </c>
      <c r="C74" s="139" t="s">
        <v>689</v>
      </c>
      <c r="D74" s="139" t="s">
        <v>671</v>
      </c>
      <c r="E74" s="139" t="s">
        <v>344</v>
      </c>
      <c r="F74" s="139" t="s">
        <v>407</v>
      </c>
      <c r="G74" s="139">
        <v>1</v>
      </c>
      <c r="H74" s="139" t="s">
        <v>691</v>
      </c>
      <c r="I74" s="139" t="s">
        <v>646</v>
      </c>
      <c r="J74" s="140" t="s">
        <v>84</v>
      </c>
      <c r="K74" s="140" t="s">
        <v>84</v>
      </c>
      <c r="L74" s="140" t="s">
        <v>84</v>
      </c>
      <c r="M74" s="140" t="s">
        <v>84</v>
      </c>
      <c r="N74" s="140" t="s">
        <v>84</v>
      </c>
    </row>
    <row r="75" spans="1:14" ht="97.5" customHeight="1" x14ac:dyDescent="0.25">
      <c r="A75" s="177"/>
      <c r="B75" s="279" t="s">
        <v>401</v>
      </c>
      <c r="C75" s="139" t="s">
        <v>690</v>
      </c>
      <c r="D75" s="139" t="s">
        <v>672</v>
      </c>
      <c r="E75" s="139" t="s">
        <v>345</v>
      </c>
      <c r="F75" s="139" t="s">
        <v>407</v>
      </c>
      <c r="G75" s="139">
        <v>1</v>
      </c>
      <c r="H75" s="139" t="s">
        <v>692</v>
      </c>
      <c r="I75" s="139" t="s">
        <v>646</v>
      </c>
      <c r="J75" s="140" t="s">
        <v>84</v>
      </c>
      <c r="K75" s="140" t="s">
        <v>84</v>
      </c>
      <c r="L75" s="140" t="s">
        <v>84</v>
      </c>
      <c r="M75" s="140" t="s">
        <v>84</v>
      </c>
      <c r="N75" s="140" t="s">
        <v>84</v>
      </c>
    </row>
    <row r="76" spans="1:14" ht="108" customHeight="1" x14ac:dyDescent="0.25">
      <c r="A76" s="177"/>
      <c r="B76" s="279" t="s">
        <v>401</v>
      </c>
      <c r="C76" s="139" t="s">
        <v>697</v>
      </c>
      <c r="D76" s="139" t="s">
        <v>673</v>
      </c>
      <c r="E76" s="139" t="s">
        <v>346</v>
      </c>
      <c r="F76" s="139" t="s">
        <v>407</v>
      </c>
      <c r="G76" s="139">
        <v>1</v>
      </c>
      <c r="H76" s="139" t="s">
        <v>700</v>
      </c>
      <c r="I76" s="139" t="s">
        <v>646</v>
      </c>
      <c r="J76" s="140" t="s">
        <v>84</v>
      </c>
      <c r="K76" s="140" t="s">
        <v>84</v>
      </c>
      <c r="L76" s="140" t="s">
        <v>84</v>
      </c>
      <c r="M76" s="140" t="s">
        <v>84</v>
      </c>
      <c r="N76" s="140" t="s">
        <v>84</v>
      </c>
    </row>
    <row r="77" spans="1:14" ht="91" customHeight="1" x14ac:dyDescent="0.25">
      <c r="A77" s="177"/>
      <c r="B77" s="279" t="s">
        <v>401</v>
      </c>
      <c r="C77" s="139" t="s">
        <v>698</v>
      </c>
      <c r="D77" s="139" t="s">
        <v>693</v>
      </c>
      <c r="E77" s="139" t="s">
        <v>347</v>
      </c>
      <c r="F77" s="139" t="s">
        <v>407</v>
      </c>
      <c r="G77" s="139">
        <v>1</v>
      </c>
      <c r="H77" s="139" t="s">
        <v>701</v>
      </c>
      <c r="I77" s="139" t="s">
        <v>646</v>
      </c>
      <c r="J77" s="140" t="s">
        <v>84</v>
      </c>
      <c r="K77" s="140" t="s">
        <v>84</v>
      </c>
      <c r="L77" s="140" t="s">
        <v>84</v>
      </c>
      <c r="M77" s="140" t="s">
        <v>84</v>
      </c>
      <c r="N77" s="140" t="s">
        <v>84</v>
      </c>
    </row>
    <row r="78" spans="1:14" ht="98.5" customHeight="1" x14ac:dyDescent="0.25">
      <c r="A78" s="177"/>
      <c r="B78" s="279" t="s">
        <v>401</v>
      </c>
      <c r="C78" s="139" t="s">
        <v>699</v>
      </c>
      <c r="D78" s="139" t="s">
        <v>694</v>
      </c>
      <c r="E78" s="139" t="s">
        <v>348</v>
      </c>
      <c r="F78" s="139" t="s">
        <v>407</v>
      </c>
      <c r="G78" s="139">
        <v>1</v>
      </c>
      <c r="H78" s="139" t="s">
        <v>702</v>
      </c>
      <c r="I78" s="139" t="s">
        <v>655</v>
      </c>
      <c r="J78" s="140" t="s">
        <v>84</v>
      </c>
      <c r="K78" s="140" t="s">
        <v>84</v>
      </c>
      <c r="L78" s="140" t="s">
        <v>84</v>
      </c>
      <c r="M78" s="140" t="s">
        <v>84</v>
      </c>
      <c r="N78" s="140" t="s">
        <v>84</v>
      </c>
    </row>
    <row r="79" spans="1:14" ht="98.5" customHeight="1" x14ac:dyDescent="0.25">
      <c r="A79" s="177"/>
      <c r="B79" s="279" t="s">
        <v>401</v>
      </c>
      <c r="C79" s="139" t="s">
        <v>704</v>
      </c>
      <c r="D79" s="139" t="s">
        <v>695</v>
      </c>
      <c r="E79" s="139" t="s">
        <v>349</v>
      </c>
      <c r="F79" s="139" t="s">
        <v>407</v>
      </c>
      <c r="G79" s="139">
        <v>1</v>
      </c>
      <c r="H79" s="139" t="s">
        <v>703</v>
      </c>
      <c r="I79" s="139" t="s">
        <v>658</v>
      </c>
      <c r="J79" s="140" t="s">
        <v>84</v>
      </c>
      <c r="K79" s="140" t="s">
        <v>84</v>
      </c>
      <c r="L79" s="140" t="s">
        <v>84</v>
      </c>
      <c r="M79" s="140" t="s">
        <v>84</v>
      </c>
      <c r="N79" s="140" t="s">
        <v>84</v>
      </c>
    </row>
    <row r="80" spans="1:14" ht="108.5" customHeight="1" x14ac:dyDescent="0.25">
      <c r="A80" s="177"/>
      <c r="B80" s="279" t="s">
        <v>401</v>
      </c>
      <c r="C80" s="139" t="s">
        <v>705</v>
      </c>
      <c r="D80" s="139" t="s">
        <v>696</v>
      </c>
      <c r="E80" s="139" t="s">
        <v>350</v>
      </c>
      <c r="F80" s="139" t="s">
        <v>407</v>
      </c>
      <c r="G80" s="139">
        <v>1</v>
      </c>
      <c r="H80" s="139" t="s">
        <v>706</v>
      </c>
      <c r="I80" s="139" t="s">
        <v>658</v>
      </c>
      <c r="J80" s="140" t="s">
        <v>84</v>
      </c>
      <c r="K80" s="140" t="s">
        <v>84</v>
      </c>
      <c r="L80" s="140" t="s">
        <v>84</v>
      </c>
      <c r="M80" s="140" t="s">
        <v>84</v>
      </c>
      <c r="N80" s="140" t="s">
        <v>84</v>
      </c>
    </row>
    <row r="81" spans="1:14" ht="87.5" customHeight="1" x14ac:dyDescent="0.25">
      <c r="A81" s="177"/>
      <c r="B81" s="279" t="s">
        <v>401</v>
      </c>
      <c r="C81" s="139" t="s">
        <v>712</v>
      </c>
      <c r="D81" s="139" t="s">
        <v>707</v>
      </c>
      <c r="E81" s="139" t="s">
        <v>351</v>
      </c>
      <c r="F81" s="139" t="s">
        <v>407</v>
      </c>
      <c r="G81" s="139">
        <v>1</v>
      </c>
      <c r="H81" s="139" t="s">
        <v>714</v>
      </c>
      <c r="I81" s="139" t="s">
        <v>646</v>
      </c>
      <c r="J81" s="140" t="s">
        <v>84</v>
      </c>
      <c r="K81" s="140" t="s">
        <v>84</v>
      </c>
      <c r="L81" s="140" t="s">
        <v>84</v>
      </c>
      <c r="M81" s="140" t="s">
        <v>84</v>
      </c>
      <c r="N81" s="140" t="s">
        <v>84</v>
      </c>
    </row>
    <row r="82" spans="1:14" ht="89.5" customHeight="1" x14ac:dyDescent="0.25">
      <c r="A82" s="177"/>
      <c r="B82" s="279" t="s">
        <v>401</v>
      </c>
      <c r="C82" s="139" t="s">
        <v>713</v>
      </c>
      <c r="D82" s="139" t="s">
        <v>708</v>
      </c>
      <c r="E82" s="139" t="s">
        <v>352</v>
      </c>
      <c r="F82" s="139" t="s">
        <v>407</v>
      </c>
      <c r="G82" s="139">
        <v>1</v>
      </c>
      <c r="H82" s="139" t="s">
        <v>715</v>
      </c>
      <c r="I82" s="139" t="s">
        <v>655</v>
      </c>
      <c r="J82" s="140" t="s">
        <v>84</v>
      </c>
      <c r="K82" s="140" t="s">
        <v>84</v>
      </c>
      <c r="L82" s="140" t="s">
        <v>84</v>
      </c>
      <c r="M82" s="140" t="s">
        <v>84</v>
      </c>
      <c r="N82" s="140" t="s">
        <v>84</v>
      </c>
    </row>
    <row r="83" spans="1:14" ht="79.25" customHeight="1" x14ac:dyDescent="0.25">
      <c r="A83" s="177"/>
      <c r="B83" s="279" t="s">
        <v>401</v>
      </c>
      <c r="C83" s="139" t="s">
        <v>520</v>
      </c>
      <c r="D83" s="139" t="s">
        <v>709</v>
      </c>
      <c r="E83" s="139" t="s">
        <v>519</v>
      </c>
      <c r="F83" s="139" t="s">
        <v>407</v>
      </c>
      <c r="G83" s="139">
        <v>1</v>
      </c>
      <c r="H83" s="139" t="s">
        <v>716</v>
      </c>
      <c r="I83" s="139" t="s">
        <v>646</v>
      </c>
      <c r="J83" s="140" t="s">
        <v>84</v>
      </c>
      <c r="K83" s="140" t="s">
        <v>84</v>
      </c>
      <c r="L83" s="140" t="s">
        <v>84</v>
      </c>
      <c r="M83" s="140" t="s">
        <v>84</v>
      </c>
      <c r="N83" s="140" t="s">
        <v>84</v>
      </c>
    </row>
    <row r="84" spans="1:14" ht="92.4" customHeight="1" x14ac:dyDescent="0.25">
      <c r="A84" s="177"/>
      <c r="B84" s="279" t="s">
        <v>401</v>
      </c>
      <c r="C84" s="139" t="s">
        <v>501</v>
      </c>
      <c r="D84" s="139" t="s">
        <v>710</v>
      </c>
      <c r="E84" s="139" t="s">
        <v>353</v>
      </c>
      <c r="F84" s="139" t="s">
        <v>407</v>
      </c>
      <c r="G84" s="139">
        <v>1</v>
      </c>
      <c r="H84" s="139" t="s">
        <v>717</v>
      </c>
      <c r="I84" s="139" t="s">
        <v>646</v>
      </c>
      <c r="J84" s="140" t="s">
        <v>84</v>
      </c>
      <c r="K84" s="140" t="s">
        <v>84</v>
      </c>
      <c r="L84" s="140" t="s">
        <v>84</v>
      </c>
      <c r="M84" s="140" t="s">
        <v>84</v>
      </c>
      <c r="N84" s="140" t="s">
        <v>84</v>
      </c>
    </row>
    <row r="85" spans="1:14" ht="79.25" customHeight="1" x14ac:dyDescent="0.25">
      <c r="A85" s="177"/>
      <c r="B85" s="279" t="s">
        <v>401</v>
      </c>
      <c r="C85" s="139" t="s">
        <v>502</v>
      </c>
      <c r="D85" s="139" t="s">
        <v>711</v>
      </c>
      <c r="E85" s="139" t="s">
        <v>354</v>
      </c>
      <c r="F85" s="139" t="s">
        <v>407</v>
      </c>
      <c r="G85" s="139">
        <v>1</v>
      </c>
      <c r="H85" s="166" t="s">
        <v>718</v>
      </c>
      <c r="I85" s="139" t="s">
        <v>655</v>
      </c>
      <c r="J85" s="140" t="s">
        <v>84</v>
      </c>
      <c r="K85" s="140" t="s">
        <v>84</v>
      </c>
      <c r="L85" s="140" t="s">
        <v>84</v>
      </c>
      <c r="M85" s="140" t="s">
        <v>84</v>
      </c>
      <c r="N85" s="140" t="s">
        <v>84</v>
      </c>
    </row>
    <row r="86" spans="1:14" ht="79.25" customHeight="1" x14ac:dyDescent="0.25">
      <c r="A86" s="177"/>
      <c r="B86" s="279" t="s">
        <v>401</v>
      </c>
      <c r="C86" s="139" t="s">
        <v>521</v>
      </c>
      <c r="D86" s="139" t="s">
        <v>720</v>
      </c>
      <c r="E86" s="139" t="s">
        <v>355</v>
      </c>
      <c r="F86" s="139" t="s">
        <v>407</v>
      </c>
      <c r="G86" s="139">
        <v>1</v>
      </c>
      <c r="H86" s="139" t="s">
        <v>719</v>
      </c>
      <c r="I86" s="139" t="s">
        <v>655</v>
      </c>
      <c r="J86" s="140" t="s">
        <v>84</v>
      </c>
      <c r="K86" s="140" t="s">
        <v>84</v>
      </c>
      <c r="L86" s="140" t="s">
        <v>84</v>
      </c>
      <c r="M86" s="140" t="s">
        <v>84</v>
      </c>
      <c r="N86" s="140" t="s">
        <v>84</v>
      </c>
    </row>
    <row r="87" spans="1:14" ht="79.25" customHeight="1" x14ac:dyDescent="0.25">
      <c r="A87" s="177"/>
      <c r="B87" s="279" t="s">
        <v>401</v>
      </c>
      <c r="C87" s="139" t="s">
        <v>726</v>
      </c>
      <c r="D87" s="139" t="s">
        <v>721</v>
      </c>
      <c r="E87" s="139" t="s">
        <v>356</v>
      </c>
      <c r="F87" s="139" t="s">
        <v>407</v>
      </c>
      <c r="G87" s="139">
        <v>1</v>
      </c>
      <c r="H87" s="139" t="s">
        <v>727</v>
      </c>
      <c r="I87" s="139" t="s">
        <v>646</v>
      </c>
      <c r="J87" s="140" t="s">
        <v>84</v>
      </c>
      <c r="K87" s="140" t="s">
        <v>84</v>
      </c>
      <c r="L87" s="140" t="s">
        <v>84</v>
      </c>
      <c r="M87" s="140" t="s">
        <v>84</v>
      </c>
      <c r="N87" s="140" t="s">
        <v>84</v>
      </c>
    </row>
    <row r="88" spans="1:14" ht="112" customHeight="1" x14ac:dyDescent="0.25">
      <c r="A88" s="177"/>
      <c r="B88" s="279" t="s">
        <v>401</v>
      </c>
      <c r="C88" s="139" t="s">
        <v>725</v>
      </c>
      <c r="D88" s="139" t="s">
        <v>722</v>
      </c>
      <c r="E88" s="139" t="s">
        <v>357</v>
      </c>
      <c r="F88" s="139" t="s">
        <v>407</v>
      </c>
      <c r="G88" s="139">
        <v>1</v>
      </c>
      <c r="H88" s="139" t="s">
        <v>728</v>
      </c>
      <c r="I88" s="139" t="s">
        <v>655</v>
      </c>
      <c r="J88" s="140" t="s">
        <v>84</v>
      </c>
      <c r="K88" s="140" t="s">
        <v>84</v>
      </c>
      <c r="L88" s="140" t="s">
        <v>84</v>
      </c>
      <c r="M88" s="140" t="s">
        <v>84</v>
      </c>
      <c r="N88" s="140" t="s">
        <v>84</v>
      </c>
    </row>
    <row r="89" spans="1:14" ht="107.5" customHeight="1" x14ac:dyDescent="0.25">
      <c r="A89" s="177"/>
      <c r="B89" s="279" t="s">
        <v>401</v>
      </c>
      <c r="C89" s="139" t="s">
        <v>737</v>
      </c>
      <c r="D89" s="139" t="s">
        <v>723</v>
      </c>
      <c r="E89" s="139" t="s">
        <v>358</v>
      </c>
      <c r="F89" s="139" t="s">
        <v>407</v>
      </c>
      <c r="G89" s="139">
        <v>1</v>
      </c>
      <c r="H89" s="139" t="s">
        <v>730</v>
      </c>
      <c r="I89" s="139" t="s">
        <v>729</v>
      </c>
      <c r="J89" s="140" t="s">
        <v>84</v>
      </c>
      <c r="K89" s="140" t="s">
        <v>84</v>
      </c>
      <c r="L89" s="140" t="s">
        <v>84</v>
      </c>
      <c r="M89" s="140" t="s">
        <v>84</v>
      </c>
      <c r="N89" s="140" t="s">
        <v>84</v>
      </c>
    </row>
    <row r="90" spans="1:14" ht="113" customHeight="1" x14ac:dyDescent="0.25">
      <c r="A90" s="177"/>
      <c r="B90" s="279" t="s">
        <v>401</v>
      </c>
      <c r="C90" s="139" t="s">
        <v>738</v>
      </c>
      <c r="D90" s="139" t="s">
        <v>724</v>
      </c>
      <c r="E90" s="139" t="s">
        <v>359</v>
      </c>
      <c r="F90" s="139" t="s">
        <v>407</v>
      </c>
      <c r="G90" s="139">
        <v>1</v>
      </c>
      <c r="H90" s="139" t="s">
        <v>731</v>
      </c>
      <c r="I90" s="139" t="s">
        <v>658</v>
      </c>
      <c r="J90" s="140" t="s">
        <v>84</v>
      </c>
      <c r="K90" s="140" t="s">
        <v>84</v>
      </c>
      <c r="L90" s="140" t="s">
        <v>84</v>
      </c>
      <c r="M90" s="140" t="s">
        <v>84</v>
      </c>
      <c r="N90" s="140" t="s">
        <v>84</v>
      </c>
    </row>
    <row r="91" spans="1:14" ht="106.5" customHeight="1" x14ac:dyDescent="0.25">
      <c r="A91" s="177"/>
      <c r="B91" s="279" t="s">
        <v>401</v>
      </c>
      <c r="C91" s="139" t="s">
        <v>741</v>
      </c>
      <c r="D91" s="139" t="s">
        <v>732</v>
      </c>
      <c r="E91" s="139" t="s">
        <v>360</v>
      </c>
      <c r="F91" s="139" t="s">
        <v>407</v>
      </c>
      <c r="G91" s="139">
        <v>1</v>
      </c>
      <c r="H91" s="139" t="s">
        <v>742</v>
      </c>
      <c r="I91" s="139" t="s">
        <v>655</v>
      </c>
      <c r="J91" s="140" t="s">
        <v>84</v>
      </c>
      <c r="K91" s="140" t="s">
        <v>84</v>
      </c>
      <c r="L91" s="140" t="s">
        <v>84</v>
      </c>
      <c r="M91" s="140" t="s">
        <v>84</v>
      </c>
      <c r="N91" s="140" t="s">
        <v>84</v>
      </c>
    </row>
    <row r="92" spans="1:14" ht="94" customHeight="1" x14ac:dyDescent="0.25">
      <c r="A92" s="177"/>
      <c r="B92" s="279" t="s">
        <v>401</v>
      </c>
      <c r="C92" s="139" t="s">
        <v>740</v>
      </c>
      <c r="D92" s="139" t="s">
        <v>733</v>
      </c>
      <c r="E92" s="139" t="s">
        <v>361</v>
      </c>
      <c r="F92" s="139" t="s">
        <v>407</v>
      </c>
      <c r="G92" s="139">
        <v>1</v>
      </c>
      <c r="H92" s="139" t="s">
        <v>743</v>
      </c>
      <c r="I92" s="139" t="s">
        <v>739</v>
      </c>
      <c r="J92" s="140" t="s">
        <v>84</v>
      </c>
      <c r="K92" s="140" t="s">
        <v>84</v>
      </c>
      <c r="L92" s="140" t="s">
        <v>84</v>
      </c>
      <c r="M92" s="140" t="s">
        <v>84</v>
      </c>
      <c r="N92" s="140" t="s">
        <v>84</v>
      </c>
    </row>
    <row r="93" spans="1:14" ht="148.5" customHeight="1" x14ac:dyDescent="0.25">
      <c r="A93" s="177"/>
      <c r="B93" s="279" t="s">
        <v>401</v>
      </c>
      <c r="C93" s="139" t="s">
        <v>744</v>
      </c>
      <c r="D93" s="139" t="s">
        <v>734</v>
      </c>
      <c r="E93" s="139" t="s">
        <v>362</v>
      </c>
      <c r="F93" s="139" t="s">
        <v>407</v>
      </c>
      <c r="G93" s="139">
        <v>1</v>
      </c>
      <c r="H93" s="139" t="s">
        <v>748</v>
      </c>
      <c r="I93" s="139" t="s">
        <v>745</v>
      </c>
      <c r="J93" s="140" t="s">
        <v>84</v>
      </c>
      <c r="K93" s="140" t="s">
        <v>84</v>
      </c>
      <c r="L93" s="140" t="s">
        <v>84</v>
      </c>
      <c r="M93" s="140" t="s">
        <v>84</v>
      </c>
      <c r="N93" s="140" t="s">
        <v>84</v>
      </c>
    </row>
    <row r="94" spans="1:14" ht="92.4" customHeight="1" x14ac:dyDescent="0.25">
      <c r="A94" s="177"/>
      <c r="B94" s="279" t="s">
        <v>401</v>
      </c>
      <c r="C94" s="139" t="s">
        <v>749</v>
      </c>
      <c r="D94" s="139" t="s">
        <v>735</v>
      </c>
      <c r="E94" s="139" t="s">
        <v>433</v>
      </c>
      <c r="F94" s="139" t="s">
        <v>407</v>
      </c>
      <c r="G94" s="139">
        <v>1</v>
      </c>
      <c r="H94" s="139" t="s">
        <v>747</v>
      </c>
      <c r="I94" s="139" t="s">
        <v>746</v>
      </c>
      <c r="J94" s="140" t="s">
        <v>84</v>
      </c>
      <c r="K94" s="140" t="s">
        <v>84</v>
      </c>
      <c r="L94" s="140" t="s">
        <v>84</v>
      </c>
      <c r="M94" s="140" t="s">
        <v>84</v>
      </c>
      <c r="N94" s="140" t="s">
        <v>84</v>
      </c>
    </row>
    <row r="95" spans="1:14" ht="92.4" customHeight="1" x14ac:dyDescent="0.25">
      <c r="A95" s="177"/>
      <c r="B95" s="279" t="s">
        <v>401</v>
      </c>
      <c r="C95" s="139" t="s">
        <v>758</v>
      </c>
      <c r="D95" s="139" t="s">
        <v>736</v>
      </c>
      <c r="E95" s="139" t="s">
        <v>434</v>
      </c>
      <c r="F95" s="139" t="s">
        <v>407</v>
      </c>
      <c r="G95" s="139">
        <v>1</v>
      </c>
      <c r="H95" s="139" t="s">
        <v>765</v>
      </c>
      <c r="I95" s="139" t="s">
        <v>655</v>
      </c>
      <c r="J95" s="140" t="s">
        <v>84</v>
      </c>
      <c r="K95" s="140" t="s">
        <v>84</v>
      </c>
      <c r="L95" s="140" t="s">
        <v>84</v>
      </c>
      <c r="M95" s="140" t="s">
        <v>84</v>
      </c>
      <c r="N95" s="140" t="s">
        <v>84</v>
      </c>
    </row>
    <row r="96" spans="1:14" ht="140" customHeight="1" x14ac:dyDescent="0.25">
      <c r="A96" s="177"/>
      <c r="B96" s="279" t="s">
        <v>401</v>
      </c>
      <c r="C96" s="139" t="s">
        <v>759</v>
      </c>
      <c r="D96" s="139" t="s">
        <v>750</v>
      </c>
      <c r="E96" s="139" t="s">
        <v>754</v>
      </c>
      <c r="F96" s="139" t="s">
        <v>407</v>
      </c>
      <c r="G96" s="139">
        <v>1</v>
      </c>
      <c r="H96" s="139" t="s">
        <v>766</v>
      </c>
      <c r="I96" s="139" t="s">
        <v>646</v>
      </c>
      <c r="J96" s="140" t="s">
        <v>84</v>
      </c>
      <c r="K96" s="140" t="s">
        <v>84</v>
      </c>
      <c r="L96" s="140" t="s">
        <v>84</v>
      </c>
      <c r="M96" s="140" t="s">
        <v>84</v>
      </c>
      <c r="N96" s="140" t="s">
        <v>84</v>
      </c>
    </row>
    <row r="97" spans="1:14" ht="145.5" customHeight="1" x14ac:dyDescent="0.25">
      <c r="A97" s="177"/>
      <c r="B97" s="279" t="s">
        <v>401</v>
      </c>
      <c r="C97" s="139" t="s">
        <v>760</v>
      </c>
      <c r="D97" s="139" t="s">
        <v>751</v>
      </c>
      <c r="E97" s="139" t="s">
        <v>755</v>
      </c>
      <c r="F97" s="139" t="s">
        <v>407</v>
      </c>
      <c r="G97" s="139">
        <v>1</v>
      </c>
      <c r="H97" s="139" t="s">
        <v>767</v>
      </c>
      <c r="I97" s="139" t="s">
        <v>646</v>
      </c>
      <c r="J97" s="140" t="s">
        <v>84</v>
      </c>
      <c r="K97" s="140" t="s">
        <v>84</v>
      </c>
      <c r="L97" s="140" t="s">
        <v>84</v>
      </c>
      <c r="M97" s="140" t="s">
        <v>84</v>
      </c>
      <c r="N97" s="140" t="s">
        <v>84</v>
      </c>
    </row>
    <row r="98" spans="1:14" ht="92.4" customHeight="1" x14ac:dyDescent="0.25">
      <c r="A98" s="177"/>
      <c r="B98" s="279" t="s">
        <v>401</v>
      </c>
      <c r="C98" s="166" t="s">
        <v>762</v>
      </c>
      <c r="D98" s="139" t="s">
        <v>752</v>
      </c>
      <c r="E98" s="139" t="s">
        <v>756</v>
      </c>
      <c r="F98" s="139" t="s">
        <v>407</v>
      </c>
      <c r="G98" s="139">
        <v>1</v>
      </c>
      <c r="H98" s="166" t="s">
        <v>768</v>
      </c>
      <c r="I98" s="139" t="s">
        <v>761</v>
      </c>
      <c r="J98" s="140" t="s">
        <v>84</v>
      </c>
      <c r="K98" s="140" t="s">
        <v>84</v>
      </c>
      <c r="L98" s="140" t="s">
        <v>84</v>
      </c>
      <c r="M98" s="140" t="s">
        <v>84</v>
      </c>
      <c r="N98" s="140" t="s">
        <v>84</v>
      </c>
    </row>
    <row r="99" spans="1:14" ht="127.5" customHeight="1" x14ac:dyDescent="0.25">
      <c r="A99" s="178"/>
      <c r="B99" s="279" t="s">
        <v>401</v>
      </c>
      <c r="C99" s="166" t="s">
        <v>764</v>
      </c>
      <c r="D99" s="139" t="s">
        <v>753</v>
      </c>
      <c r="E99" s="139" t="s">
        <v>757</v>
      </c>
      <c r="F99" s="139" t="s">
        <v>407</v>
      </c>
      <c r="G99" s="139">
        <v>1</v>
      </c>
      <c r="H99" s="166" t="s">
        <v>769</v>
      </c>
      <c r="I99" s="139" t="s">
        <v>763</v>
      </c>
      <c r="J99" s="140" t="s">
        <v>84</v>
      </c>
      <c r="K99" s="140" t="s">
        <v>84</v>
      </c>
      <c r="L99" s="140" t="s">
        <v>84</v>
      </c>
      <c r="M99" s="140" t="s">
        <v>84</v>
      </c>
      <c r="N99" s="140" t="s">
        <v>84</v>
      </c>
    </row>
    <row r="100" spans="1:14" ht="92.4" customHeight="1" x14ac:dyDescent="0.25">
      <c r="A100" s="176" t="s">
        <v>446</v>
      </c>
      <c r="B100" s="279" t="s">
        <v>401</v>
      </c>
      <c r="C100" s="139" t="s">
        <v>771</v>
      </c>
      <c r="D100" s="139" t="s">
        <v>448</v>
      </c>
      <c r="E100" s="139" t="s">
        <v>363</v>
      </c>
      <c r="F100" s="139" t="s">
        <v>407</v>
      </c>
      <c r="G100" s="139">
        <v>1</v>
      </c>
      <c r="H100" s="139" t="s">
        <v>776</v>
      </c>
      <c r="I100" s="139" t="s">
        <v>770</v>
      </c>
      <c r="J100" s="140" t="s">
        <v>84</v>
      </c>
      <c r="K100" s="140" t="s">
        <v>84</v>
      </c>
      <c r="L100" s="140" t="s">
        <v>84</v>
      </c>
      <c r="M100" s="140" t="s">
        <v>84</v>
      </c>
      <c r="N100" s="140" t="s">
        <v>84</v>
      </c>
    </row>
    <row r="101" spans="1:14" ht="92.4" customHeight="1" x14ac:dyDescent="0.25">
      <c r="A101" s="177"/>
      <c r="B101" s="279" t="s">
        <v>401</v>
      </c>
      <c r="C101" s="139" t="s">
        <v>772</v>
      </c>
      <c r="D101" s="139" t="s">
        <v>463</v>
      </c>
      <c r="E101" s="139" t="s">
        <v>365</v>
      </c>
      <c r="F101" s="139" t="s">
        <v>407</v>
      </c>
      <c r="G101" s="139">
        <v>1</v>
      </c>
      <c r="H101" s="139" t="s">
        <v>775</v>
      </c>
      <c r="I101" s="139" t="s">
        <v>773</v>
      </c>
      <c r="J101" s="140" t="s">
        <v>84</v>
      </c>
      <c r="K101" s="140" t="s">
        <v>84</v>
      </c>
      <c r="L101" s="140" t="s">
        <v>84</v>
      </c>
      <c r="M101" s="140" t="s">
        <v>84</v>
      </c>
      <c r="N101" s="140" t="s">
        <v>84</v>
      </c>
    </row>
    <row r="102" spans="1:14" ht="79.25" customHeight="1" x14ac:dyDescent="0.25">
      <c r="A102" s="178"/>
      <c r="B102" s="279" t="s">
        <v>401</v>
      </c>
      <c r="C102" s="139" t="s">
        <v>777</v>
      </c>
      <c r="D102" s="139" t="s">
        <v>468</v>
      </c>
      <c r="E102" s="139" t="s">
        <v>364</v>
      </c>
      <c r="F102" s="139" t="s">
        <v>407</v>
      </c>
      <c r="G102" s="139">
        <v>1</v>
      </c>
      <c r="H102" s="139" t="s">
        <v>774</v>
      </c>
      <c r="I102" s="139" t="s">
        <v>655</v>
      </c>
      <c r="J102" s="140" t="s">
        <v>84</v>
      </c>
      <c r="K102" s="140" t="s">
        <v>84</v>
      </c>
      <c r="L102" s="140" t="s">
        <v>84</v>
      </c>
      <c r="M102" s="140" t="s">
        <v>84</v>
      </c>
      <c r="N102" s="140" t="s">
        <v>84</v>
      </c>
    </row>
    <row r="103" spans="1:14" ht="25" x14ac:dyDescent="0.25">
      <c r="A103" s="182" t="s">
        <v>447</v>
      </c>
      <c r="B103" s="279" t="s">
        <v>401</v>
      </c>
      <c r="C103" s="139" t="s">
        <v>452</v>
      </c>
      <c r="D103" s="139" t="s">
        <v>449</v>
      </c>
      <c r="E103" s="139" t="s">
        <v>450</v>
      </c>
      <c r="F103" s="139" t="s">
        <v>407</v>
      </c>
      <c r="G103" s="139">
        <v>1</v>
      </c>
      <c r="H103" s="139" t="s">
        <v>454</v>
      </c>
      <c r="I103" s="139" t="s">
        <v>779</v>
      </c>
      <c r="J103" s="140" t="s">
        <v>84</v>
      </c>
      <c r="K103" s="140" t="s">
        <v>84</v>
      </c>
      <c r="L103" s="140" t="s">
        <v>84</v>
      </c>
      <c r="M103" s="140" t="s">
        <v>84</v>
      </c>
      <c r="N103" s="140" t="s">
        <v>84</v>
      </c>
    </row>
    <row r="104" spans="1:14" ht="37.5" x14ac:dyDescent="0.25">
      <c r="A104" s="184"/>
      <c r="B104" s="279" t="s">
        <v>401</v>
      </c>
      <c r="C104" s="139" t="s">
        <v>470</v>
      </c>
      <c r="D104" s="139" t="s">
        <v>466</v>
      </c>
      <c r="E104" s="139" t="s">
        <v>464</v>
      </c>
      <c r="F104" s="139" t="s">
        <v>407</v>
      </c>
      <c r="G104" s="139">
        <v>1</v>
      </c>
      <c r="H104" s="139" t="s">
        <v>472</v>
      </c>
      <c r="I104" s="139" t="s">
        <v>780</v>
      </c>
      <c r="J104" s="140" t="s">
        <v>84</v>
      </c>
      <c r="K104" s="140" t="s">
        <v>84</v>
      </c>
      <c r="L104" s="140" t="s">
        <v>84</v>
      </c>
      <c r="M104" s="140" t="s">
        <v>84</v>
      </c>
      <c r="N104" s="140" t="s">
        <v>84</v>
      </c>
    </row>
    <row r="105" spans="1:14" ht="25" x14ac:dyDescent="0.25">
      <c r="A105" s="183"/>
      <c r="B105" s="279" t="s">
        <v>401</v>
      </c>
      <c r="C105" s="139" t="s">
        <v>471</v>
      </c>
      <c r="D105" s="139" t="s">
        <v>778</v>
      </c>
      <c r="E105" s="139" t="s">
        <v>469</v>
      </c>
      <c r="F105" s="139" t="s">
        <v>407</v>
      </c>
      <c r="G105" s="139">
        <v>1</v>
      </c>
      <c r="H105" s="139" t="s">
        <v>465</v>
      </c>
      <c r="I105" s="139" t="s">
        <v>781</v>
      </c>
      <c r="J105" s="140" t="s">
        <v>84</v>
      </c>
      <c r="K105" s="140" t="s">
        <v>84</v>
      </c>
      <c r="L105" s="140" t="s">
        <v>84</v>
      </c>
      <c r="M105" s="140" t="s">
        <v>84</v>
      </c>
      <c r="N105" s="140" t="s">
        <v>84</v>
      </c>
    </row>
    <row r="106" spans="1:14" ht="25" x14ac:dyDescent="0.25">
      <c r="A106" s="182" t="s">
        <v>784</v>
      </c>
      <c r="B106" s="279" t="s">
        <v>401</v>
      </c>
      <c r="C106" s="139" t="s">
        <v>453</v>
      </c>
      <c r="D106" s="139" t="s">
        <v>782</v>
      </c>
      <c r="E106" s="139" t="s">
        <v>451</v>
      </c>
      <c r="F106" s="139" t="s">
        <v>407</v>
      </c>
      <c r="G106" s="139">
        <v>1</v>
      </c>
      <c r="H106" s="139" t="s">
        <v>454</v>
      </c>
      <c r="I106" s="139" t="s">
        <v>779</v>
      </c>
      <c r="J106" s="140" t="s">
        <v>84</v>
      </c>
      <c r="K106" s="140" t="s">
        <v>84</v>
      </c>
      <c r="L106" s="140" t="s">
        <v>84</v>
      </c>
      <c r="M106" s="140" t="s">
        <v>84</v>
      </c>
      <c r="N106" s="140" t="s">
        <v>84</v>
      </c>
    </row>
    <row r="107" spans="1:14" ht="50" x14ac:dyDescent="0.25">
      <c r="A107" s="183"/>
      <c r="B107" s="279" t="s">
        <v>401</v>
      </c>
      <c r="C107" s="139" t="s">
        <v>453</v>
      </c>
      <c r="D107" s="139" t="s">
        <v>786</v>
      </c>
      <c r="E107" s="139" t="s">
        <v>467</v>
      </c>
      <c r="F107" s="139" t="s">
        <v>407</v>
      </c>
      <c r="G107" s="139">
        <v>1</v>
      </c>
      <c r="H107" s="139" t="s">
        <v>783</v>
      </c>
      <c r="I107" s="139" t="s">
        <v>779</v>
      </c>
      <c r="J107" s="140" t="s">
        <v>84</v>
      </c>
      <c r="K107" s="140" t="s">
        <v>84</v>
      </c>
      <c r="L107" s="140" t="s">
        <v>84</v>
      </c>
      <c r="M107" s="140" t="s">
        <v>84</v>
      </c>
      <c r="N107" s="140" t="s">
        <v>84</v>
      </c>
    </row>
  </sheetData>
  <mergeCells count="16">
    <mergeCell ref="A7:A14"/>
    <mergeCell ref="A15:A21"/>
    <mergeCell ref="A3:A6"/>
    <mergeCell ref="A106:A107"/>
    <mergeCell ref="A103:A105"/>
    <mergeCell ref="A100:A102"/>
    <mergeCell ref="A50:A52"/>
    <mergeCell ref="A55:A56"/>
    <mergeCell ref="A57:A59"/>
    <mergeCell ref="A60:A61"/>
    <mergeCell ref="A62:A99"/>
    <mergeCell ref="A45:A49"/>
    <mergeCell ref="A53:A54"/>
    <mergeCell ref="A22:A32"/>
    <mergeCell ref="A33:A39"/>
    <mergeCell ref="A40:A44"/>
  </mergeCells>
  <phoneticPr fontId="6" type="noConversion"/>
  <dataValidations count="1">
    <dataValidation type="list" allowBlank="1" showInputMessage="1" showErrorMessage="1" sqref="J2:N107" xr:uid="{00000000-0002-0000-0300-000000000000}">
      <formula1>testresultlist</formula1>
    </dataValidation>
  </dataValidations>
  <pageMargins left="0.54" right="0.37" top="0.54" bottom="0.74" header="0.4921259845" footer="0.4921259845"/>
  <pageSetup paperSize="9" scale="75" orientation="landscape" r:id="rId1"/>
  <headerFooter alignWithMargins="0">
    <oddFooter>&amp;L&amp;D&amp;C&amp;F - &amp;A_x000D_&amp;1#&amp;"Arial"&amp;8&amp;K000000 Internal&amp;R&amp;P</oddFooter>
  </headerFooter>
  <drawing r:id="rId2"/>
  <legacyDrawing r:id="rId3"/>
  <controls>
    <mc:AlternateContent xmlns:mc="http://schemas.openxmlformats.org/markup-compatibility/2006">
      <mc:Choice Requires="x14">
        <control shapeId="31753" r:id="rId4" name="CommandButton1">
          <controlPr defaultSize="0" autoLine="0" r:id="rId5">
            <anchor moveWithCells="1">
              <from>
                <xdr:col>12</xdr:col>
                <xdr:colOff>139700</xdr:colOff>
                <xdr:row>0</xdr:row>
                <xdr:rowOff>0</xdr:rowOff>
              </from>
              <to>
                <xdr:col>13</xdr:col>
                <xdr:colOff>412750</xdr:colOff>
                <xdr:row>1</xdr:row>
                <xdr:rowOff>114300</xdr:rowOff>
              </to>
            </anchor>
          </controlPr>
        </control>
      </mc:Choice>
      <mc:Fallback>
        <control shapeId="31753" r:id="rId4"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indexed="44"/>
  </sheetPr>
  <dimension ref="A1:Q108"/>
  <sheetViews>
    <sheetView workbookViewId="0">
      <selection sqref="A1:A2"/>
    </sheetView>
  </sheetViews>
  <sheetFormatPr defaultColWidth="11.453125" defaultRowHeight="12.5" x14ac:dyDescent="0.25"/>
  <cols>
    <col min="16" max="16" width="11.453125" customWidth="1"/>
  </cols>
  <sheetData>
    <row r="1" spans="1:17" x14ac:dyDescent="0.25">
      <c r="A1" s="185"/>
      <c r="B1" s="185" t="s">
        <v>55</v>
      </c>
      <c r="C1" s="185"/>
      <c r="D1" s="185"/>
      <c r="E1" s="185"/>
      <c r="F1" s="185"/>
      <c r="G1" s="185"/>
      <c r="H1" s="185"/>
      <c r="I1" s="185"/>
      <c r="J1" s="185"/>
      <c r="K1" s="185"/>
      <c r="L1" s="185"/>
      <c r="M1" s="185"/>
      <c r="N1" s="185"/>
      <c r="O1" s="185"/>
      <c r="P1" s="185"/>
    </row>
    <row r="2" spans="1:17" ht="25" x14ac:dyDescent="0.25">
      <c r="A2" s="185"/>
      <c r="B2" s="142" t="s">
        <v>408</v>
      </c>
      <c r="C2" s="142" t="s">
        <v>409</v>
      </c>
      <c r="D2" s="145" t="s">
        <v>410</v>
      </c>
      <c r="E2" s="145" t="s">
        <v>411</v>
      </c>
      <c r="F2" s="145" t="s">
        <v>412</v>
      </c>
      <c r="G2" s="145" t="s">
        <v>413</v>
      </c>
      <c r="H2" s="145" t="s">
        <v>414</v>
      </c>
      <c r="I2" s="145" t="s">
        <v>415</v>
      </c>
      <c r="J2" s="145" t="s">
        <v>416</v>
      </c>
      <c r="K2" s="145" t="s">
        <v>417</v>
      </c>
      <c r="L2" s="145" t="s">
        <v>418</v>
      </c>
      <c r="M2" s="145" t="s">
        <v>419</v>
      </c>
      <c r="N2" s="145" t="s">
        <v>420</v>
      </c>
      <c r="O2" s="145" t="s">
        <v>421</v>
      </c>
      <c r="P2" s="145" t="s">
        <v>422</v>
      </c>
      <c r="Q2" s="150" t="s">
        <v>430</v>
      </c>
    </row>
    <row r="3" spans="1:17" ht="13" x14ac:dyDescent="0.3">
      <c r="A3" s="166" t="s">
        <v>785</v>
      </c>
      <c r="B3" s="149" t="s">
        <v>269</v>
      </c>
      <c r="C3" s="149" t="s">
        <v>269</v>
      </c>
      <c r="D3" s="162"/>
      <c r="E3" s="149" t="s">
        <v>269</v>
      </c>
      <c r="F3" s="162"/>
      <c r="G3" s="162"/>
      <c r="H3" s="162"/>
      <c r="I3" s="162"/>
      <c r="J3" s="162"/>
      <c r="K3" s="162"/>
      <c r="L3" s="162"/>
      <c r="M3" s="162"/>
      <c r="N3" s="162"/>
      <c r="O3" s="162"/>
      <c r="P3" s="162"/>
      <c r="Q3" s="162"/>
    </row>
    <row r="4" spans="1:17" ht="13" x14ac:dyDescent="0.3">
      <c r="A4" s="167" t="s">
        <v>251</v>
      </c>
      <c r="B4" s="149" t="s">
        <v>269</v>
      </c>
      <c r="C4" s="149"/>
      <c r="D4" s="149"/>
      <c r="E4" s="149" t="s">
        <v>269</v>
      </c>
      <c r="F4" s="149"/>
      <c r="G4" s="149"/>
      <c r="H4" s="149"/>
      <c r="I4" s="149"/>
      <c r="J4" s="149"/>
      <c r="K4" s="149"/>
      <c r="L4" s="149"/>
      <c r="M4" s="149"/>
      <c r="N4" s="149"/>
      <c r="O4" s="149"/>
      <c r="P4" s="149"/>
      <c r="Q4" s="46"/>
    </row>
    <row r="5" spans="1:17" ht="13" x14ac:dyDescent="0.3">
      <c r="A5" s="167" t="s">
        <v>379</v>
      </c>
      <c r="B5" s="149" t="s">
        <v>269</v>
      </c>
      <c r="C5" s="149" t="s">
        <v>269</v>
      </c>
      <c r="D5" s="149"/>
      <c r="E5" s="149" t="s">
        <v>269</v>
      </c>
      <c r="F5" s="149"/>
      <c r="G5" s="149"/>
      <c r="H5" s="149"/>
      <c r="I5" s="149"/>
      <c r="J5" s="149"/>
      <c r="K5" s="149"/>
      <c r="L5" s="149"/>
      <c r="M5" s="149"/>
      <c r="N5" s="149"/>
      <c r="O5" s="149"/>
      <c r="P5" s="149"/>
      <c r="Q5" s="46"/>
    </row>
    <row r="6" spans="1:17" ht="13" x14ac:dyDescent="0.3">
      <c r="A6" s="167" t="s">
        <v>380</v>
      </c>
      <c r="B6" s="149" t="s">
        <v>269</v>
      </c>
      <c r="C6" s="149" t="s">
        <v>269</v>
      </c>
      <c r="D6" s="149"/>
      <c r="E6" s="149" t="s">
        <v>269</v>
      </c>
      <c r="F6" s="149"/>
      <c r="G6" s="149"/>
      <c r="H6" s="149"/>
      <c r="I6" s="149"/>
      <c r="J6" s="149"/>
      <c r="K6" s="149"/>
      <c r="L6" s="149"/>
      <c r="M6" s="149"/>
      <c r="N6" s="149"/>
      <c r="O6" s="149"/>
      <c r="P6" s="149"/>
      <c r="Q6" s="46"/>
    </row>
    <row r="7" spans="1:17" ht="13" x14ac:dyDescent="0.3">
      <c r="A7" s="167" t="s">
        <v>381</v>
      </c>
      <c r="B7" s="149" t="s">
        <v>269</v>
      </c>
      <c r="C7" s="149"/>
      <c r="D7" s="149" t="s">
        <v>269</v>
      </c>
      <c r="E7" s="149" t="s">
        <v>269</v>
      </c>
      <c r="F7" s="149"/>
      <c r="G7" s="149"/>
      <c r="H7" s="149"/>
      <c r="I7" s="149"/>
      <c r="J7" s="149"/>
      <c r="K7" s="149"/>
      <c r="L7" s="149"/>
      <c r="M7" s="149"/>
      <c r="N7" s="149"/>
      <c r="O7" s="149"/>
      <c r="P7" s="149"/>
      <c r="Q7" s="46"/>
    </row>
    <row r="8" spans="1:17" ht="13" x14ac:dyDescent="0.3">
      <c r="A8" s="167" t="s">
        <v>252</v>
      </c>
      <c r="B8" s="149" t="s">
        <v>269</v>
      </c>
      <c r="C8" s="149"/>
      <c r="D8" s="149"/>
      <c r="E8" s="149"/>
      <c r="F8" s="149"/>
      <c r="G8" s="149"/>
      <c r="H8" s="149"/>
      <c r="I8" s="149"/>
      <c r="J8" s="149" t="s">
        <v>269</v>
      </c>
      <c r="K8" s="149"/>
      <c r="L8" s="149"/>
      <c r="M8" s="149"/>
      <c r="N8" s="149"/>
      <c r="O8" s="149"/>
      <c r="P8" s="149"/>
      <c r="Q8" s="46"/>
    </row>
    <row r="9" spans="1:17" ht="13" x14ac:dyDescent="0.3">
      <c r="A9" s="167" t="s">
        <v>382</v>
      </c>
      <c r="B9" s="149" t="s">
        <v>269</v>
      </c>
      <c r="C9" s="149"/>
      <c r="D9" s="149" t="s">
        <v>269</v>
      </c>
      <c r="E9" s="149"/>
      <c r="F9" s="149"/>
      <c r="G9" s="149"/>
      <c r="H9" s="149"/>
      <c r="I9" s="149"/>
      <c r="J9" s="149" t="s">
        <v>269</v>
      </c>
      <c r="K9" s="149"/>
      <c r="L9" s="149"/>
      <c r="M9" s="149"/>
      <c r="N9" s="149"/>
      <c r="O9" s="149"/>
      <c r="P9" s="149"/>
      <c r="Q9" s="46"/>
    </row>
    <row r="10" spans="1:17" ht="13" x14ac:dyDescent="0.3">
      <c r="A10" s="167" t="s">
        <v>383</v>
      </c>
      <c r="B10" s="149" t="s">
        <v>269</v>
      </c>
      <c r="C10" s="149" t="s">
        <v>269</v>
      </c>
      <c r="D10" s="149"/>
      <c r="E10" s="149"/>
      <c r="F10" s="149"/>
      <c r="G10" s="149"/>
      <c r="H10" s="149"/>
      <c r="I10" s="149"/>
      <c r="J10" s="149" t="s">
        <v>269</v>
      </c>
      <c r="K10" s="149"/>
      <c r="L10" s="149"/>
      <c r="M10" s="149"/>
      <c r="N10" s="149"/>
      <c r="O10" s="149"/>
      <c r="P10" s="149"/>
      <c r="Q10" s="46"/>
    </row>
    <row r="11" spans="1:17" ht="13" x14ac:dyDescent="0.3">
      <c r="A11" s="167" t="s">
        <v>384</v>
      </c>
      <c r="B11" s="149" t="s">
        <v>269</v>
      </c>
      <c r="C11" s="149" t="s">
        <v>269</v>
      </c>
      <c r="D11" s="149"/>
      <c r="E11" s="149" t="s">
        <v>269</v>
      </c>
      <c r="F11" s="149"/>
      <c r="G11" s="149"/>
      <c r="H11" s="149"/>
      <c r="I11" s="149"/>
      <c r="J11" s="149"/>
      <c r="K11" s="149"/>
      <c r="L11" s="149"/>
      <c r="M11" s="149"/>
      <c r="N11" s="149"/>
      <c r="O11" s="149"/>
      <c r="P11" s="149"/>
      <c r="Q11" s="46"/>
    </row>
    <row r="12" spans="1:17" ht="13" x14ac:dyDescent="0.3">
      <c r="A12" s="167" t="s">
        <v>385</v>
      </c>
      <c r="B12" s="149" t="s">
        <v>269</v>
      </c>
      <c r="C12" s="149" t="s">
        <v>269</v>
      </c>
      <c r="D12" s="149"/>
      <c r="E12" s="149" t="s">
        <v>269</v>
      </c>
      <c r="F12" s="149"/>
      <c r="G12" s="149"/>
      <c r="H12" s="149"/>
      <c r="I12" s="149"/>
      <c r="J12" s="149"/>
      <c r="K12" s="149"/>
      <c r="L12" s="149"/>
      <c r="M12" s="149"/>
      <c r="N12" s="149"/>
      <c r="O12" s="149"/>
      <c r="P12" s="149"/>
      <c r="Q12" s="46"/>
    </row>
    <row r="13" spans="1:17" ht="13" x14ac:dyDescent="0.3">
      <c r="A13" s="167" t="s">
        <v>478</v>
      </c>
      <c r="B13" s="149" t="s">
        <v>269</v>
      </c>
      <c r="C13" s="149" t="s">
        <v>269</v>
      </c>
      <c r="D13" s="149"/>
      <c r="E13" s="149" t="s">
        <v>269</v>
      </c>
      <c r="F13" s="149"/>
      <c r="G13" s="149"/>
      <c r="H13" s="149"/>
      <c r="I13" s="149"/>
      <c r="J13" s="149"/>
      <c r="K13" s="149"/>
      <c r="L13" s="149"/>
      <c r="M13" s="149"/>
      <c r="N13" s="149"/>
      <c r="O13" s="149"/>
      <c r="P13" s="149"/>
      <c r="Q13" s="46"/>
    </row>
    <row r="14" spans="1:17" ht="13" x14ac:dyDescent="0.3">
      <c r="A14" s="167" t="s">
        <v>480</v>
      </c>
      <c r="B14" s="149" t="s">
        <v>269</v>
      </c>
      <c r="C14" s="149" t="s">
        <v>269</v>
      </c>
      <c r="D14" s="149"/>
      <c r="E14" s="149" t="s">
        <v>269</v>
      </c>
      <c r="F14" s="149"/>
      <c r="G14" s="149"/>
      <c r="H14" s="149"/>
      <c r="I14" s="149"/>
      <c r="J14" s="149"/>
      <c r="K14" s="149"/>
      <c r="L14" s="149"/>
      <c r="M14" s="149"/>
      <c r="N14" s="149"/>
      <c r="O14" s="149"/>
      <c r="P14" s="149"/>
      <c r="Q14" s="46"/>
    </row>
    <row r="15" spans="1:17" ht="13" x14ac:dyDescent="0.3">
      <c r="A15" s="167" t="s">
        <v>533</v>
      </c>
      <c r="B15" s="149" t="s">
        <v>789</v>
      </c>
      <c r="C15" s="149" t="s">
        <v>789</v>
      </c>
      <c r="D15" s="149"/>
      <c r="E15" s="149" t="s">
        <v>789</v>
      </c>
      <c r="F15" s="149"/>
      <c r="G15" s="149"/>
      <c r="H15" s="149"/>
      <c r="I15" s="149"/>
      <c r="J15" s="149"/>
      <c r="K15" s="149"/>
      <c r="L15" s="149"/>
      <c r="M15" s="149"/>
      <c r="N15" s="149"/>
      <c r="O15" s="149"/>
      <c r="P15" s="149"/>
      <c r="Q15" s="46"/>
    </row>
    <row r="16" spans="1:17" ht="13" x14ac:dyDescent="0.3">
      <c r="A16" s="167" t="s">
        <v>253</v>
      </c>
      <c r="B16" s="149" t="s">
        <v>269</v>
      </c>
      <c r="C16" s="149"/>
      <c r="D16" s="149"/>
      <c r="E16" s="149"/>
      <c r="F16" s="149"/>
      <c r="G16" s="149"/>
      <c r="H16" s="149"/>
      <c r="I16" s="149"/>
      <c r="J16" s="149"/>
      <c r="K16" s="149"/>
      <c r="L16" s="149"/>
      <c r="M16" s="149"/>
      <c r="N16" s="149"/>
      <c r="O16" s="149"/>
      <c r="P16" s="149"/>
      <c r="Q16" s="46"/>
    </row>
    <row r="17" spans="1:17" ht="13" x14ac:dyDescent="0.3">
      <c r="A17" s="167" t="s">
        <v>254</v>
      </c>
      <c r="B17" s="149" t="s">
        <v>269</v>
      </c>
      <c r="C17" s="149" t="s">
        <v>269</v>
      </c>
      <c r="D17" s="149"/>
      <c r="E17" s="149"/>
      <c r="F17" s="149"/>
      <c r="G17" s="149"/>
      <c r="H17" s="149"/>
      <c r="I17" s="149"/>
      <c r="J17" s="149"/>
      <c r="K17" s="149"/>
      <c r="L17" s="149"/>
      <c r="M17" s="149"/>
      <c r="N17" s="149"/>
      <c r="O17" s="149"/>
      <c r="P17" s="149"/>
      <c r="Q17" s="46"/>
    </row>
    <row r="18" spans="1:17" ht="13" x14ac:dyDescent="0.3">
      <c r="A18" s="167" t="s">
        <v>386</v>
      </c>
      <c r="B18" s="149" t="s">
        <v>269</v>
      </c>
      <c r="C18" s="149"/>
      <c r="D18" s="149" t="s">
        <v>269</v>
      </c>
      <c r="E18" s="149"/>
      <c r="F18" s="149"/>
      <c r="G18" s="149"/>
      <c r="H18" s="149"/>
      <c r="I18" s="149"/>
      <c r="J18" s="149"/>
      <c r="K18" s="149" t="s">
        <v>269</v>
      </c>
      <c r="L18" s="149" t="s">
        <v>269</v>
      </c>
      <c r="M18" s="149"/>
      <c r="N18" s="149"/>
      <c r="O18" s="149"/>
      <c r="P18" s="149"/>
      <c r="Q18" s="46"/>
    </row>
    <row r="19" spans="1:17" ht="13" x14ac:dyDescent="0.3">
      <c r="A19" s="167" t="s">
        <v>387</v>
      </c>
      <c r="B19" s="149" t="s">
        <v>269</v>
      </c>
      <c r="C19" s="149"/>
      <c r="D19" s="149" t="s">
        <v>269</v>
      </c>
      <c r="E19" s="149"/>
      <c r="F19" s="149"/>
      <c r="G19" s="149"/>
      <c r="H19" s="149"/>
      <c r="I19" s="149"/>
      <c r="J19" s="149"/>
      <c r="K19" s="149" t="s">
        <v>269</v>
      </c>
      <c r="L19" s="149" t="s">
        <v>269</v>
      </c>
      <c r="M19" s="149"/>
      <c r="N19" s="149"/>
      <c r="O19" s="149"/>
      <c r="P19" s="149"/>
      <c r="Q19" s="46"/>
    </row>
    <row r="20" spans="1:17" ht="13" x14ac:dyDescent="0.3">
      <c r="A20" s="167" t="s">
        <v>388</v>
      </c>
      <c r="B20" s="149" t="s">
        <v>269</v>
      </c>
      <c r="C20" s="149"/>
      <c r="D20" s="149" t="s">
        <v>269</v>
      </c>
      <c r="E20" s="149"/>
      <c r="F20" s="149"/>
      <c r="G20" s="149"/>
      <c r="H20" s="149"/>
      <c r="I20" s="149"/>
      <c r="J20" s="149"/>
      <c r="K20" s="149" t="s">
        <v>269</v>
      </c>
      <c r="L20" s="149" t="s">
        <v>269</v>
      </c>
      <c r="M20" s="149"/>
      <c r="N20" s="149"/>
      <c r="O20" s="149"/>
      <c r="P20" s="149"/>
      <c r="Q20" s="46"/>
    </row>
    <row r="21" spans="1:17" ht="13" x14ac:dyDescent="0.3">
      <c r="A21" s="167" t="s">
        <v>389</v>
      </c>
      <c r="B21" s="149" t="s">
        <v>269</v>
      </c>
      <c r="C21" s="149"/>
      <c r="D21" s="149" t="s">
        <v>269</v>
      </c>
      <c r="E21" s="149"/>
      <c r="F21" s="149"/>
      <c r="G21" s="149"/>
      <c r="H21" s="149"/>
      <c r="I21" s="149"/>
      <c r="J21" s="149"/>
      <c r="K21" s="149" t="s">
        <v>269</v>
      </c>
      <c r="L21" s="149" t="s">
        <v>269</v>
      </c>
      <c r="M21" s="149"/>
      <c r="N21" s="149"/>
      <c r="O21" s="149"/>
      <c r="P21" s="149"/>
      <c r="Q21" s="46"/>
    </row>
    <row r="22" spans="1:17" ht="13" x14ac:dyDescent="0.3">
      <c r="A22" s="167" t="s">
        <v>390</v>
      </c>
      <c r="B22" s="149" t="s">
        <v>269</v>
      </c>
      <c r="C22" s="149"/>
      <c r="D22" s="149" t="s">
        <v>269</v>
      </c>
      <c r="E22" s="149"/>
      <c r="F22" s="149"/>
      <c r="G22" s="149"/>
      <c r="H22" s="149"/>
      <c r="I22" s="149"/>
      <c r="J22" s="149"/>
      <c r="K22" s="149" t="s">
        <v>269</v>
      </c>
      <c r="L22" s="149" t="s">
        <v>269</v>
      </c>
      <c r="M22" s="149"/>
      <c r="N22" s="149"/>
      <c r="O22" s="149"/>
      <c r="P22" s="149"/>
      <c r="Q22" s="46"/>
    </row>
    <row r="23" spans="1:17" ht="13" x14ac:dyDescent="0.3">
      <c r="A23" s="167" t="s">
        <v>255</v>
      </c>
      <c r="B23" s="149" t="s">
        <v>269</v>
      </c>
      <c r="C23" s="149"/>
      <c r="D23" s="149"/>
      <c r="E23" s="149"/>
      <c r="F23" s="149"/>
      <c r="G23" s="149"/>
      <c r="H23" s="149"/>
      <c r="I23" s="149"/>
      <c r="J23" s="149"/>
      <c r="K23" s="149"/>
      <c r="L23" s="149"/>
      <c r="M23" s="149"/>
      <c r="N23" s="149"/>
      <c r="O23" s="149"/>
      <c r="P23" s="149"/>
      <c r="Q23" s="46"/>
    </row>
    <row r="24" spans="1:17" ht="13" x14ac:dyDescent="0.3">
      <c r="A24" s="167" t="s">
        <v>256</v>
      </c>
      <c r="B24" s="149" t="s">
        <v>269</v>
      </c>
      <c r="C24" s="149" t="s">
        <v>269</v>
      </c>
      <c r="D24" s="149"/>
      <c r="E24" s="149"/>
      <c r="F24" s="149"/>
      <c r="G24" s="149"/>
      <c r="H24" s="149"/>
      <c r="I24" s="149"/>
      <c r="J24" s="149"/>
      <c r="K24" s="149"/>
      <c r="L24" s="149"/>
      <c r="M24" s="149"/>
      <c r="N24" s="149"/>
      <c r="O24" s="149"/>
      <c r="P24" s="149"/>
      <c r="Q24" s="46"/>
    </row>
    <row r="25" spans="1:17" ht="13" x14ac:dyDescent="0.3">
      <c r="A25" s="167" t="s">
        <v>257</v>
      </c>
      <c r="B25" s="149" t="s">
        <v>269</v>
      </c>
      <c r="C25" s="149"/>
      <c r="D25" s="149" t="s">
        <v>269</v>
      </c>
      <c r="E25" s="149"/>
      <c r="F25" s="149"/>
      <c r="G25" s="149"/>
      <c r="H25" s="149"/>
      <c r="I25" s="149"/>
      <c r="J25" s="149"/>
      <c r="K25" s="149" t="s">
        <v>269</v>
      </c>
      <c r="L25" s="149" t="s">
        <v>269</v>
      </c>
      <c r="M25" s="149"/>
      <c r="N25" s="149"/>
      <c r="O25" s="149"/>
      <c r="P25" s="149"/>
      <c r="Q25" s="46"/>
    </row>
    <row r="26" spans="1:17" ht="13" x14ac:dyDescent="0.3">
      <c r="A26" s="167" t="s">
        <v>258</v>
      </c>
      <c r="B26" s="149" t="s">
        <v>269</v>
      </c>
      <c r="C26" s="149"/>
      <c r="D26" s="149" t="s">
        <v>269</v>
      </c>
      <c r="E26" s="149"/>
      <c r="F26" s="149"/>
      <c r="G26" s="149"/>
      <c r="H26" s="149"/>
      <c r="I26" s="149"/>
      <c r="J26" s="149"/>
      <c r="K26" s="149" t="s">
        <v>269</v>
      </c>
      <c r="L26" s="149" t="s">
        <v>269</v>
      </c>
      <c r="M26" s="149"/>
      <c r="N26" s="149"/>
      <c r="O26" s="149"/>
      <c r="P26" s="149"/>
      <c r="Q26" s="46"/>
    </row>
    <row r="27" spans="1:17" ht="13" x14ac:dyDescent="0.3">
      <c r="A27" s="167" t="s">
        <v>259</v>
      </c>
      <c r="B27" s="149" t="s">
        <v>269</v>
      </c>
      <c r="C27" s="149"/>
      <c r="D27" s="149" t="s">
        <v>269</v>
      </c>
      <c r="E27" s="149"/>
      <c r="F27" s="149"/>
      <c r="G27" s="149"/>
      <c r="H27" s="149"/>
      <c r="I27" s="149"/>
      <c r="J27" s="149"/>
      <c r="K27" s="149" t="s">
        <v>269</v>
      </c>
      <c r="L27" s="149" t="s">
        <v>269</v>
      </c>
      <c r="M27" s="149"/>
      <c r="N27" s="149"/>
      <c r="O27" s="149"/>
      <c r="P27" s="149"/>
      <c r="Q27" s="46"/>
    </row>
    <row r="28" spans="1:17" ht="13" x14ac:dyDescent="0.3">
      <c r="A28" s="167" t="s">
        <v>490</v>
      </c>
      <c r="B28" s="149" t="s">
        <v>269</v>
      </c>
      <c r="C28" s="149"/>
      <c r="D28" s="149" t="s">
        <v>269</v>
      </c>
      <c r="E28" s="149"/>
      <c r="F28" s="149"/>
      <c r="G28" s="149"/>
      <c r="H28" s="149"/>
      <c r="I28" s="149"/>
      <c r="J28" s="149"/>
      <c r="K28" s="149" t="s">
        <v>269</v>
      </c>
      <c r="L28" s="149" t="s">
        <v>269</v>
      </c>
      <c r="M28" s="149"/>
      <c r="N28" s="149"/>
      <c r="O28" s="149"/>
      <c r="P28" s="149"/>
      <c r="Q28" s="46"/>
    </row>
    <row r="29" spans="1:17" ht="13" x14ac:dyDescent="0.3">
      <c r="A29" s="167" t="s">
        <v>512</v>
      </c>
      <c r="B29" s="149" t="s">
        <v>269</v>
      </c>
      <c r="C29" s="149"/>
      <c r="D29" s="149" t="s">
        <v>269</v>
      </c>
      <c r="E29" s="149"/>
      <c r="F29" s="149"/>
      <c r="G29" s="149"/>
      <c r="H29" s="149"/>
      <c r="I29" s="149"/>
      <c r="J29" s="149"/>
      <c r="K29" s="149" t="s">
        <v>269</v>
      </c>
      <c r="L29" s="149" t="s">
        <v>269</v>
      </c>
      <c r="M29" s="149"/>
      <c r="N29" s="149"/>
      <c r="O29" s="149"/>
      <c r="P29" s="149"/>
      <c r="Q29" s="46"/>
    </row>
    <row r="30" spans="1:17" ht="13" x14ac:dyDescent="0.3">
      <c r="A30" s="167" t="s">
        <v>549</v>
      </c>
      <c r="B30" s="149" t="s">
        <v>269</v>
      </c>
      <c r="C30" s="149"/>
      <c r="D30" s="149" t="s">
        <v>269</v>
      </c>
      <c r="E30" s="149"/>
      <c r="F30" s="149"/>
      <c r="G30" s="149"/>
      <c r="H30" s="149"/>
      <c r="I30" s="149"/>
      <c r="J30" s="149"/>
      <c r="K30" s="149" t="s">
        <v>269</v>
      </c>
      <c r="L30" s="149" t="s">
        <v>269</v>
      </c>
      <c r="M30" s="149"/>
      <c r="N30" s="149"/>
      <c r="O30" s="149"/>
      <c r="P30" s="149"/>
      <c r="Q30" s="46"/>
    </row>
    <row r="31" spans="1:17" ht="13" x14ac:dyDescent="0.3">
      <c r="A31" s="167" t="s">
        <v>550</v>
      </c>
      <c r="B31" s="149" t="s">
        <v>269</v>
      </c>
      <c r="C31" s="149"/>
      <c r="D31" s="149" t="s">
        <v>269</v>
      </c>
      <c r="E31" s="149"/>
      <c r="F31" s="149"/>
      <c r="G31" s="149"/>
      <c r="H31" s="149"/>
      <c r="I31" s="149"/>
      <c r="J31" s="149"/>
      <c r="K31" s="149" t="s">
        <v>269</v>
      </c>
      <c r="L31" s="149" t="s">
        <v>269</v>
      </c>
      <c r="M31" s="149"/>
      <c r="N31" s="149"/>
      <c r="O31" s="149"/>
      <c r="P31" s="149"/>
      <c r="Q31" s="46"/>
    </row>
    <row r="32" spans="1:17" ht="13" x14ac:dyDescent="0.3">
      <c r="A32" s="167" t="s">
        <v>551</v>
      </c>
      <c r="B32" s="149" t="s">
        <v>269</v>
      </c>
      <c r="C32" s="149"/>
      <c r="D32" s="149" t="s">
        <v>269</v>
      </c>
      <c r="E32" s="149"/>
      <c r="F32" s="149"/>
      <c r="G32" s="149"/>
      <c r="H32" s="149"/>
      <c r="I32" s="149"/>
      <c r="J32" s="149"/>
      <c r="K32" s="149" t="s">
        <v>269</v>
      </c>
      <c r="L32" s="149" t="s">
        <v>269</v>
      </c>
      <c r="M32" s="149"/>
      <c r="N32" s="149"/>
      <c r="O32" s="149"/>
      <c r="P32" s="149"/>
      <c r="Q32" s="46"/>
    </row>
    <row r="33" spans="1:17" ht="13" x14ac:dyDescent="0.3">
      <c r="A33" s="167" t="s">
        <v>552</v>
      </c>
      <c r="B33" s="149" t="s">
        <v>269</v>
      </c>
      <c r="C33" s="149"/>
      <c r="D33" s="149" t="s">
        <v>269</v>
      </c>
      <c r="E33" s="149"/>
      <c r="F33" s="149"/>
      <c r="G33" s="149"/>
      <c r="H33" s="149"/>
      <c r="I33" s="149"/>
      <c r="J33" s="149"/>
      <c r="K33" s="149" t="s">
        <v>269</v>
      </c>
      <c r="L33" s="149" t="s">
        <v>269</v>
      </c>
      <c r="M33" s="149"/>
      <c r="N33" s="149"/>
      <c r="O33" s="149"/>
      <c r="P33" s="149"/>
      <c r="Q33" s="46"/>
    </row>
    <row r="34" spans="1:17" ht="13" x14ac:dyDescent="0.3">
      <c r="A34" s="167" t="s">
        <v>260</v>
      </c>
      <c r="B34" s="149" t="s">
        <v>269</v>
      </c>
      <c r="C34" s="149"/>
      <c r="D34" s="149"/>
      <c r="E34" s="149"/>
      <c r="F34" s="149"/>
      <c r="G34" s="149"/>
      <c r="H34" s="149"/>
      <c r="I34" s="149"/>
      <c r="J34" s="149"/>
      <c r="K34" s="149"/>
      <c r="L34" s="149"/>
      <c r="M34" s="149"/>
      <c r="N34" s="149"/>
      <c r="O34" s="149"/>
      <c r="P34" s="149"/>
      <c r="Q34" s="46"/>
    </row>
    <row r="35" spans="1:17" ht="13" x14ac:dyDescent="0.3">
      <c r="A35" s="167" t="s">
        <v>261</v>
      </c>
      <c r="B35" s="149" t="s">
        <v>269</v>
      </c>
      <c r="C35" s="149" t="s">
        <v>269</v>
      </c>
      <c r="D35" s="149"/>
      <c r="E35" s="149"/>
      <c r="F35" s="149"/>
      <c r="G35" s="149"/>
      <c r="H35" s="149"/>
      <c r="I35" s="149"/>
      <c r="J35" s="149"/>
      <c r="K35" s="149"/>
      <c r="L35" s="149"/>
      <c r="M35" s="149" t="s">
        <v>269</v>
      </c>
      <c r="N35" s="149"/>
      <c r="O35" s="149"/>
      <c r="P35" s="149"/>
      <c r="Q35" s="46"/>
    </row>
    <row r="36" spans="1:17" ht="13" x14ac:dyDescent="0.3">
      <c r="A36" s="167" t="s">
        <v>262</v>
      </c>
      <c r="B36" s="149" t="s">
        <v>269</v>
      </c>
      <c r="C36" s="149"/>
      <c r="D36" s="149" t="s">
        <v>269</v>
      </c>
      <c r="E36" s="149"/>
      <c r="F36" s="149"/>
      <c r="G36" s="149"/>
      <c r="H36" s="149"/>
      <c r="I36" s="149"/>
      <c r="J36" s="149"/>
      <c r="K36" s="149"/>
      <c r="L36" s="149"/>
      <c r="M36" s="149" t="s">
        <v>269</v>
      </c>
      <c r="N36" s="149"/>
      <c r="O36" s="149"/>
      <c r="P36" s="149"/>
      <c r="Q36" s="46"/>
    </row>
    <row r="37" spans="1:17" ht="13" x14ac:dyDescent="0.3">
      <c r="A37" s="167" t="s">
        <v>515</v>
      </c>
      <c r="B37" s="149" t="s">
        <v>269</v>
      </c>
      <c r="C37" s="149"/>
      <c r="D37" s="149" t="s">
        <v>269</v>
      </c>
      <c r="E37" s="149"/>
      <c r="F37" s="149"/>
      <c r="G37" s="149"/>
      <c r="H37" s="149"/>
      <c r="I37" s="149"/>
      <c r="J37" s="149"/>
      <c r="K37" s="149"/>
      <c r="L37" s="149"/>
      <c r="M37" s="149" t="s">
        <v>269</v>
      </c>
      <c r="N37" s="149"/>
      <c r="O37" s="149"/>
      <c r="P37" s="149"/>
      <c r="Q37" s="46"/>
    </row>
    <row r="38" spans="1:17" ht="13" x14ac:dyDescent="0.3">
      <c r="A38" s="167" t="s">
        <v>517</v>
      </c>
      <c r="B38" s="149" t="s">
        <v>269</v>
      </c>
      <c r="C38" s="149"/>
      <c r="D38" s="149" t="s">
        <v>269</v>
      </c>
      <c r="E38" s="149"/>
      <c r="F38" s="149"/>
      <c r="G38" s="149"/>
      <c r="H38" s="149"/>
      <c r="I38" s="149"/>
      <c r="J38" s="149"/>
      <c r="K38" s="149"/>
      <c r="L38" s="149"/>
      <c r="M38" s="149" t="s">
        <v>269</v>
      </c>
      <c r="N38" s="149"/>
      <c r="O38" s="149"/>
      <c r="P38" s="149"/>
      <c r="Q38" s="46"/>
    </row>
    <row r="39" spans="1:17" ht="13" x14ac:dyDescent="0.3">
      <c r="A39" s="167" t="s">
        <v>587</v>
      </c>
      <c r="B39" s="149" t="s">
        <v>269</v>
      </c>
      <c r="C39" s="149"/>
      <c r="D39" s="149" t="s">
        <v>269</v>
      </c>
      <c r="E39" s="149"/>
      <c r="F39" s="149"/>
      <c r="G39" s="149"/>
      <c r="H39" s="149"/>
      <c r="I39" s="149"/>
      <c r="J39" s="149"/>
      <c r="K39" s="149"/>
      <c r="L39" s="149"/>
      <c r="M39" s="149" t="s">
        <v>269</v>
      </c>
      <c r="N39" s="149"/>
      <c r="O39" s="149"/>
      <c r="P39" s="149"/>
      <c r="Q39" s="46"/>
    </row>
    <row r="40" spans="1:17" ht="13" x14ac:dyDescent="0.3">
      <c r="A40" s="167" t="s">
        <v>588</v>
      </c>
      <c r="B40" s="149" t="s">
        <v>269</v>
      </c>
      <c r="C40" s="149"/>
      <c r="D40" s="149" t="s">
        <v>269</v>
      </c>
      <c r="E40" s="149"/>
      <c r="F40" s="149"/>
      <c r="G40" s="149"/>
      <c r="H40" s="149"/>
      <c r="I40" s="149"/>
      <c r="J40" s="149"/>
      <c r="K40" s="149"/>
      <c r="L40" s="149"/>
      <c r="M40" s="149" t="s">
        <v>269</v>
      </c>
      <c r="N40" s="149"/>
      <c r="O40" s="149"/>
      <c r="P40" s="149"/>
      <c r="Q40" s="46"/>
    </row>
    <row r="41" spans="1:17" ht="13" x14ac:dyDescent="0.3">
      <c r="A41" s="167" t="s">
        <v>263</v>
      </c>
      <c r="B41" s="149" t="s">
        <v>269</v>
      </c>
      <c r="C41" s="149"/>
      <c r="D41" s="149"/>
      <c r="E41" s="149"/>
      <c r="F41" s="149"/>
      <c r="G41" s="149"/>
      <c r="H41" s="149"/>
      <c r="I41" s="149"/>
      <c r="J41" s="149"/>
      <c r="K41" s="149"/>
      <c r="L41" s="149"/>
      <c r="M41" s="149"/>
      <c r="N41" s="149" t="s">
        <v>269</v>
      </c>
      <c r="O41" s="149"/>
      <c r="P41" s="149"/>
      <c r="Q41" s="46"/>
    </row>
    <row r="42" spans="1:17" ht="13" x14ac:dyDescent="0.3">
      <c r="A42" s="167" t="s">
        <v>391</v>
      </c>
      <c r="B42" s="149" t="s">
        <v>269</v>
      </c>
      <c r="C42" s="149" t="s">
        <v>269</v>
      </c>
      <c r="D42" s="149"/>
      <c r="E42" s="149"/>
      <c r="F42" s="149"/>
      <c r="G42" s="149"/>
      <c r="H42" s="149"/>
      <c r="I42" s="149"/>
      <c r="J42" s="149"/>
      <c r="K42" s="149"/>
      <c r="L42" s="149"/>
      <c r="M42" s="149"/>
      <c r="N42" s="149" t="s">
        <v>269</v>
      </c>
      <c r="O42" s="149"/>
      <c r="P42" s="149"/>
      <c r="Q42" s="46"/>
    </row>
    <row r="43" spans="1:17" ht="13" x14ac:dyDescent="0.3">
      <c r="A43" s="167" t="s">
        <v>392</v>
      </c>
      <c r="B43" s="149" t="s">
        <v>269</v>
      </c>
      <c r="C43" s="149" t="s">
        <v>269</v>
      </c>
      <c r="D43" s="149"/>
      <c r="E43" s="149"/>
      <c r="F43" s="149"/>
      <c r="G43" s="149"/>
      <c r="H43" s="149"/>
      <c r="I43" s="149"/>
      <c r="J43" s="149"/>
      <c r="K43" s="149"/>
      <c r="L43" s="149"/>
      <c r="M43" s="149"/>
      <c r="N43" s="149"/>
      <c r="O43" s="149"/>
      <c r="P43" s="149"/>
      <c r="Q43" s="46"/>
    </row>
    <row r="44" spans="1:17" ht="13" x14ac:dyDescent="0.3">
      <c r="A44" s="167" t="s">
        <v>492</v>
      </c>
      <c r="B44" s="149" t="s">
        <v>269</v>
      </c>
      <c r="C44" s="149" t="s">
        <v>269</v>
      </c>
      <c r="D44" s="149"/>
      <c r="E44" s="149"/>
      <c r="F44" s="149"/>
      <c r="G44" s="149"/>
      <c r="H44" s="149"/>
      <c r="I44" s="149"/>
      <c r="J44" s="149"/>
      <c r="K44" s="149"/>
      <c r="L44" s="149"/>
      <c r="M44" s="149"/>
      <c r="N44" s="149"/>
      <c r="O44" s="149"/>
      <c r="P44" s="149"/>
      <c r="Q44" s="46"/>
    </row>
    <row r="45" spans="1:17" ht="13" x14ac:dyDescent="0.3">
      <c r="A45" s="167" t="s">
        <v>494</v>
      </c>
      <c r="B45" s="149" t="s">
        <v>269</v>
      </c>
      <c r="C45" s="149" t="s">
        <v>269</v>
      </c>
      <c r="D45" s="149"/>
      <c r="E45" s="149"/>
      <c r="F45" s="149"/>
      <c r="G45" s="149"/>
      <c r="H45" s="149"/>
      <c r="I45" s="149"/>
      <c r="J45" s="149"/>
      <c r="K45" s="149"/>
      <c r="L45" s="149"/>
      <c r="M45" s="149"/>
      <c r="N45" s="149"/>
      <c r="O45" s="149"/>
      <c r="P45" s="149"/>
      <c r="Q45" s="46"/>
    </row>
    <row r="46" spans="1:17" ht="13" x14ac:dyDescent="0.3">
      <c r="A46" s="139" t="s">
        <v>264</v>
      </c>
      <c r="B46" s="149" t="s">
        <v>269</v>
      </c>
      <c r="C46" s="149"/>
      <c r="D46" s="149"/>
      <c r="E46" s="149"/>
      <c r="F46" s="149"/>
      <c r="G46" s="149"/>
      <c r="H46" s="149"/>
      <c r="I46" s="149"/>
      <c r="J46" s="149"/>
      <c r="K46" s="149"/>
      <c r="L46" s="149"/>
      <c r="M46" s="149"/>
      <c r="N46" s="149"/>
      <c r="O46" s="149"/>
      <c r="P46" s="149"/>
      <c r="Q46" s="46"/>
    </row>
    <row r="47" spans="1:17" ht="13" x14ac:dyDescent="0.3">
      <c r="A47" s="139" t="s">
        <v>265</v>
      </c>
      <c r="B47" s="149" t="s">
        <v>269</v>
      </c>
      <c r="C47" s="149" t="s">
        <v>269</v>
      </c>
      <c r="D47" s="149"/>
      <c r="E47" s="149"/>
      <c r="F47" s="149"/>
      <c r="G47" s="149"/>
      <c r="H47" s="149"/>
      <c r="I47" s="149"/>
      <c r="J47" s="149"/>
      <c r="K47" s="149"/>
      <c r="L47" s="149"/>
      <c r="M47" s="149"/>
      <c r="N47" s="149" t="s">
        <v>269</v>
      </c>
      <c r="O47" s="149"/>
      <c r="P47" s="149"/>
      <c r="Q47" s="46"/>
    </row>
    <row r="48" spans="1:17" ht="13" x14ac:dyDescent="0.3">
      <c r="A48" s="139" t="s">
        <v>609</v>
      </c>
      <c r="B48" s="149" t="s">
        <v>269</v>
      </c>
      <c r="C48" s="149" t="s">
        <v>269</v>
      </c>
      <c r="D48" s="149"/>
      <c r="E48" s="149"/>
      <c r="F48" s="149"/>
      <c r="G48" s="149"/>
      <c r="H48" s="149"/>
      <c r="I48" s="149"/>
      <c r="J48" s="149"/>
      <c r="K48" s="149"/>
      <c r="L48" s="149"/>
      <c r="M48" s="149"/>
      <c r="N48" s="149" t="s">
        <v>269</v>
      </c>
      <c r="O48" s="149"/>
      <c r="P48" s="149"/>
      <c r="Q48" s="46"/>
    </row>
    <row r="49" spans="1:17" ht="13" x14ac:dyDescent="0.3">
      <c r="A49" s="139" t="s">
        <v>610</v>
      </c>
      <c r="B49" s="149" t="s">
        <v>269</v>
      </c>
      <c r="C49" s="149" t="s">
        <v>269</v>
      </c>
      <c r="D49" s="149"/>
      <c r="E49" s="149"/>
      <c r="F49" s="149"/>
      <c r="G49" s="149"/>
      <c r="H49" s="149"/>
      <c r="I49" s="149"/>
      <c r="J49" s="149"/>
      <c r="K49" s="149"/>
      <c r="L49" s="149"/>
      <c r="M49" s="149"/>
      <c r="N49" s="149" t="s">
        <v>269</v>
      </c>
      <c r="O49" s="149"/>
      <c r="P49" s="149"/>
      <c r="Q49" s="46"/>
    </row>
    <row r="50" spans="1:17" ht="13" x14ac:dyDescent="0.3">
      <c r="A50" s="139" t="s">
        <v>611</v>
      </c>
      <c r="B50" s="149" t="s">
        <v>269</v>
      </c>
      <c r="C50" s="149" t="s">
        <v>269</v>
      </c>
      <c r="D50" s="149"/>
      <c r="E50" s="149"/>
      <c r="F50" s="149"/>
      <c r="G50" s="149"/>
      <c r="H50" s="149"/>
      <c r="I50" s="149"/>
      <c r="J50" s="149"/>
      <c r="K50" s="149"/>
      <c r="L50" s="149"/>
      <c r="M50" s="149"/>
      <c r="N50" s="149" t="s">
        <v>269</v>
      </c>
      <c r="O50" s="149"/>
      <c r="P50" s="149"/>
      <c r="Q50" s="46"/>
    </row>
    <row r="51" spans="1:17" ht="13" x14ac:dyDescent="0.3">
      <c r="A51" s="139" t="s">
        <v>266</v>
      </c>
      <c r="B51" s="149" t="s">
        <v>269</v>
      </c>
      <c r="C51" s="149" t="s">
        <v>269</v>
      </c>
      <c r="D51" s="149"/>
      <c r="E51" s="149"/>
      <c r="F51" s="149"/>
      <c r="G51" s="149"/>
      <c r="H51" s="149"/>
      <c r="I51" s="149"/>
      <c r="J51" s="149"/>
      <c r="K51" s="149"/>
      <c r="L51" s="149"/>
      <c r="M51" s="149"/>
      <c r="N51" s="149" t="s">
        <v>269</v>
      </c>
      <c r="O51" s="149" t="s">
        <v>269</v>
      </c>
      <c r="P51" s="149"/>
      <c r="Q51" s="46"/>
    </row>
    <row r="52" spans="1:17" ht="13" x14ac:dyDescent="0.3">
      <c r="A52" s="139" t="s">
        <v>393</v>
      </c>
      <c r="B52" s="149" t="s">
        <v>269</v>
      </c>
      <c r="C52" s="149" t="s">
        <v>269</v>
      </c>
      <c r="D52" s="149"/>
      <c r="E52" s="149"/>
      <c r="F52" s="149"/>
      <c r="G52" s="149"/>
      <c r="H52" s="149"/>
      <c r="I52" s="149"/>
      <c r="J52" s="149"/>
      <c r="K52" s="149"/>
      <c r="L52" s="149"/>
      <c r="M52" s="149"/>
      <c r="N52" s="149" t="s">
        <v>269</v>
      </c>
      <c r="O52" s="46"/>
      <c r="P52" s="149" t="s">
        <v>269</v>
      </c>
      <c r="Q52" s="46"/>
    </row>
    <row r="53" spans="1:17" ht="13" x14ac:dyDescent="0.3">
      <c r="A53" s="139" t="s">
        <v>500</v>
      </c>
      <c r="B53" s="149" t="s">
        <v>269</v>
      </c>
      <c r="C53" s="149" t="s">
        <v>269</v>
      </c>
      <c r="D53" s="149"/>
      <c r="E53" s="149"/>
      <c r="F53" s="149"/>
      <c r="G53" s="149"/>
      <c r="H53" s="149"/>
      <c r="I53" s="149"/>
      <c r="J53" s="149"/>
      <c r="K53" s="149"/>
      <c r="L53" s="149"/>
      <c r="M53" s="149"/>
      <c r="N53" s="149" t="s">
        <v>269</v>
      </c>
      <c r="P53" s="149" t="s">
        <v>269</v>
      </c>
      <c r="Q53" s="46"/>
    </row>
    <row r="54" spans="1:17" ht="13" x14ac:dyDescent="0.3">
      <c r="A54" s="139" t="s">
        <v>267</v>
      </c>
      <c r="B54" s="149" t="s">
        <v>269</v>
      </c>
      <c r="C54" s="149" t="s">
        <v>269</v>
      </c>
      <c r="D54" s="149"/>
      <c r="E54" s="149"/>
      <c r="F54" s="149"/>
      <c r="G54" s="149"/>
      <c r="H54" s="149"/>
      <c r="I54" s="149"/>
      <c r="J54" s="149"/>
      <c r="K54" s="149"/>
      <c r="L54" s="149"/>
      <c r="M54" s="149"/>
      <c r="N54" s="149" t="s">
        <v>269</v>
      </c>
      <c r="O54" s="149" t="s">
        <v>269</v>
      </c>
      <c r="Q54" s="46"/>
    </row>
    <row r="55" spans="1:17" ht="13" x14ac:dyDescent="0.3">
      <c r="A55" s="139" t="s">
        <v>394</v>
      </c>
      <c r="B55" s="149" t="s">
        <v>269</v>
      </c>
      <c r="C55" s="149" t="s">
        <v>269</v>
      </c>
      <c r="D55" s="149"/>
      <c r="E55" s="149"/>
      <c r="F55" s="149"/>
      <c r="G55" s="149"/>
      <c r="H55" s="149"/>
      <c r="I55" s="149"/>
      <c r="J55" s="149"/>
      <c r="K55" s="149"/>
      <c r="L55" s="149"/>
      <c r="M55" s="149"/>
      <c r="N55" s="149" t="s">
        <v>269</v>
      </c>
      <c r="P55" s="149" t="s">
        <v>269</v>
      </c>
      <c r="Q55" s="46"/>
    </row>
    <row r="56" spans="1:17" ht="13" x14ac:dyDescent="0.3">
      <c r="A56" s="139" t="s">
        <v>268</v>
      </c>
      <c r="B56" s="149" t="s">
        <v>269</v>
      </c>
      <c r="C56" s="149" t="s">
        <v>269</v>
      </c>
      <c r="D56" s="149"/>
      <c r="E56" s="149"/>
      <c r="F56" s="149"/>
      <c r="G56" s="149"/>
      <c r="H56" s="149"/>
      <c r="I56" s="149"/>
      <c r="J56" s="149"/>
      <c r="K56" s="149"/>
      <c r="L56" s="149"/>
      <c r="M56" s="149"/>
      <c r="N56" s="149" t="s">
        <v>269</v>
      </c>
      <c r="O56" s="149" t="s">
        <v>269</v>
      </c>
      <c r="P56" s="149"/>
      <c r="Q56" s="46"/>
    </row>
    <row r="57" spans="1:17" ht="13" x14ac:dyDescent="0.3">
      <c r="A57" s="139" t="s">
        <v>395</v>
      </c>
      <c r="B57" s="149" t="s">
        <v>269</v>
      </c>
      <c r="C57" s="149" t="s">
        <v>269</v>
      </c>
      <c r="D57" s="149"/>
      <c r="E57" s="149"/>
      <c r="F57" s="149"/>
      <c r="G57" s="149"/>
      <c r="H57" s="149"/>
      <c r="I57" s="149"/>
      <c r="J57" s="149"/>
      <c r="K57" s="149"/>
      <c r="L57" s="149"/>
      <c r="M57" s="149"/>
      <c r="N57" s="149" t="s">
        <v>269</v>
      </c>
      <c r="O57" s="149" t="s">
        <v>269</v>
      </c>
      <c r="P57" s="149"/>
      <c r="Q57" s="46"/>
    </row>
    <row r="58" spans="1:17" ht="13" x14ac:dyDescent="0.3">
      <c r="A58" s="139" t="s">
        <v>396</v>
      </c>
      <c r="B58" s="149" t="s">
        <v>269</v>
      </c>
      <c r="C58" s="149" t="s">
        <v>269</v>
      </c>
      <c r="D58" s="149"/>
      <c r="E58" s="149"/>
      <c r="F58" s="149"/>
      <c r="G58" s="149"/>
      <c r="H58" s="149"/>
      <c r="I58" s="149"/>
      <c r="J58" s="149"/>
      <c r="K58" s="149" t="s">
        <v>269</v>
      </c>
      <c r="L58" s="149" t="s">
        <v>269</v>
      </c>
      <c r="M58" s="149"/>
      <c r="N58" s="149"/>
      <c r="O58" s="149"/>
      <c r="P58" s="149"/>
      <c r="Q58" s="46"/>
    </row>
    <row r="59" spans="1:17" ht="13" x14ac:dyDescent="0.3">
      <c r="A59" s="139" t="s">
        <v>397</v>
      </c>
      <c r="B59" s="149" t="s">
        <v>269</v>
      </c>
      <c r="C59" s="149" t="s">
        <v>269</v>
      </c>
      <c r="D59" s="149"/>
      <c r="E59" s="149"/>
      <c r="F59" s="149"/>
      <c r="G59" s="149"/>
      <c r="H59" s="149"/>
      <c r="I59" s="149"/>
      <c r="J59" s="149"/>
      <c r="K59" s="149" t="s">
        <v>269</v>
      </c>
      <c r="L59" s="149" t="s">
        <v>269</v>
      </c>
      <c r="M59" s="149"/>
      <c r="N59" s="149"/>
      <c r="O59" s="149"/>
      <c r="P59" s="149"/>
      <c r="Q59" s="46"/>
    </row>
    <row r="60" spans="1:17" ht="13" x14ac:dyDescent="0.3">
      <c r="A60" s="139" t="s">
        <v>640</v>
      </c>
      <c r="B60" s="149" t="s">
        <v>269</v>
      </c>
      <c r="C60" s="149" t="s">
        <v>269</v>
      </c>
      <c r="D60" s="149"/>
      <c r="E60" s="149"/>
      <c r="F60" s="149"/>
      <c r="G60" s="149"/>
      <c r="H60" s="149"/>
      <c r="I60" s="149"/>
      <c r="J60" s="149"/>
      <c r="K60" s="149" t="s">
        <v>269</v>
      </c>
      <c r="L60" s="149" t="s">
        <v>269</v>
      </c>
      <c r="M60" s="149"/>
      <c r="N60" s="149"/>
      <c r="O60" s="149"/>
      <c r="P60" s="149"/>
      <c r="Q60" s="46"/>
    </row>
    <row r="61" spans="1:17" ht="13" x14ac:dyDescent="0.3">
      <c r="A61" s="139" t="s">
        <v>402</v>
      </c>
      <c r="B61" s="149" t="s">
        <v>269</v>
      </c>
      <c r="C61" s="149" t="s">
        <v>269</v>
      </c>
      <c r="D61" s="149"/>
      <c r="E61" s="149"/>
      <c r="F61" s="149"/>
      <c r="G61" s="149"/>
      <c r="H61" s="149"/>
      <c r="I61" s="149"/>
      <c r="J61" s="149"/>
      <c r="K61" s="149"/>
      <c r="L61" s="149"/>
      <c r="M61" s="149"/>
      <c r="N61" s="149"/>
      <c r="O61" s="149"/>
      <c r="P61" s="149"/>
      <c r="Q61" s="46"/>
    </row>
    <row r="62" spans="1:17" ht="13" x14ac:dyDescent="0.3">
      <c r="A62" s="139" t="s">
        <v>403</v>
      </c>
      <c r="B62" s="149" t="s">
        <v>269</v>
      </c>
      <c r="C62" s="149" t="s">
        <v>269</v>
      </c>
      <c r="D62" s="149"/>
      <c r="E62" s="149"/>
      <c r="F62" s="149"/>
      <c r="G62" s="149"/>
      <c r="H62" s="149"/>
      <c r="I62" s="149"/>
      <c r="J62" s="149"/>
      <c r="K62" s="149" t="s">
        <v>269</v>
      </c>
      <c r="L62" s="149" t="s">
        <v>269</v>
      </c>
      <c r="M62" s="149"/>
      <c r="N62" s="149" t="s">
        <v>269</v>
      </c>
      <c r="O62" s="149" t="s">
        <v>269</v>
      </c>
      <c r="P62" s="149"/>
      <c r="Q62" s="46"/>
    </row>
    <row r="63" spans="1:17" ht="13" x14ac:dyDescent="0.3">
      <c r="A63" s="139" t="s">
        <v>398</v>
      </c>
      <c r="B63" s="149" t="s">
        <v>269</v>
      </c>
      <c r="C63" s="149" t="s">
        <v>269</v>
      </c>
      <c r="D63" s="149"/>
      <c r="E63" s="149"/>
      <c r="F63" s="149"/>
      <c r="G63" s="149"/>
      <c r="H63" s="149"/>
      <c r="I63" s="149"/>
      <c r="J63" s="149"/>
      <c r="K63" s="149" t="s">
        <v>269</v>
      </c>
      <c r="L63" s="149" t="s">
        <v>269</v>
      </c>
      <c r="M63" s="149"/>
      <c r="N63" s="149"/>
      <c r="O63" s="149"/>
      <c r="P63" s="149"/>
      <c r="Q63" s="46"/>
    </row>
    <row r="64" spans="1:17" ht="13" x14ac:dyDescent="0.3">
      <c r="A64" s="139" t="s">
        <v>399</v>
      </c>
      <c r="B64" s="149" t="s">
        <v>269</v>
      </c>
      <c r="C64" s="149" t="s">
        <v>269</v>
      </c>
      <c r="D64" s="149"/>
      <c r="E64" s="149"/>
      <c r="F64" s="149"/>
      <c r="G64" s="149"/>
      <c r="H64" s="149"/>
      <c r="I64" s="149"/>
      <c r="J64" s="149"/>
      <c r="K64" s="149" t="s">
        <v>269</v>
      </c>
      <c r="L64" s="149" t="s">
        <v>269</v>
      </c>
      <c r="M64" s="149"/>
      <c r="N64" s="149"/>
      <c r="O64" s="149"/>
      <c r="P64" s="149"/>
      <c r="Q64" s="46"/>
    </row>
    <row r="65" spans="1:17" ht="13" x14ac:dyDescent="0.3">
      <c r="A65" s="139" t="s">
        <v>400</v>
      </c>
      <c r="B65" s="149" t="s">
        <v>269</v>
      </c>
      <c r="C65" s="149" t="s">
        <v>269</v>
      </c>
      <c r="D65" s="149"/>
      <c r="E65" s="149"/>
      <c r="F65" s="149"/>
      <c r="G65" s="149"/>
      <c r="H65" s="149"/>
      <c r="I65" s="149"/>
      <c r="J65" s="149"/>
      <c r="K65" s="149" t="s">
        <v>269</v>
      </c>
      <c r="L65" s="149" t="s">
        <v>269</v>
      </c>
      <c r="M65" s="149"/>
      <c r="N65" s="149"/>
      <c r="O65" s="149"/>
      <c r="P65" s="149"/>
      <c r="Q65" s="46"/>
    </row>
    <row r="66" spans="1:17" ht="13" x14ac:dyDescent="0.3">
      <c r="A66" s="139" t="s">
        <v>652</v>
      </c>
      <c r="B66" s="149" t="s">
        <v>269</v>
      </c>
      <c r="C66" s="149" t="s">
        <v>269</v>
      </c>
      <c r="D66" s="149"/>
      <c r="E66" s="149"/>
      <c r="F66" s="149"/>
      <c r="G66" s="149"/>
      <c r="H66" s="149"/>
      <c r="I66" s="149"/>
      <c r="J66" s="149"/>
      <c r="K66" s="149" t="s">
        <v>269</v>
      </c>
      <c r="L66" s="149" t="s">
        <v>269</v>
      </c>
      <c r="M66" s="149"/>
      <c r="N66" s="149"/>
      <c r="O66" s="149"/>
      <c r="P66" s="149"/>
      <c r="Q66" s="46"/>
    </row>
    <row r="67" spans="1:17" ht="13" x14ac:dyDescent="0.3">
      <c r="A67" s="139" t="s">
        <v>653</v>
      </c>
      <c r="B67" s="149" t="s">
        <v>269</v>
      </c>
      <c r="C67" s="149" t="s">
        <v>269</v>
      </c>
      <c r="D67" s="149"/>
      <c r="E67" s="149"/>
      <c r="F67" s="149"/>
      <c r="G67" s="149"/>
      <c r="H67" s="149"/>
      <c r="I67" s="149"/>
      <c r="J67" s="149"/>
      <c r="K67" s="149" t="s">
        <v>269</v>
      </c>
      <c r="L67" s="149" t="s">
        <v>269</v>
      </c>
      <c r="M67" s="149"/>
      <c r="N67" s="149"/>
      <c r="O67" s="149"/>
      <c r="P67" s="149"/>
      <c r="Q67" s="46"/>
    </row>
    <row r="68" spans="1:17" ht="13" x14ac:dyDescent="0.3">
      <c r="A68" s="139" t="s">
        <v>654</v>
      </c>
      <c r="B68" s="149" t="s">
        <v>269</v>
      </c>
      <c r="C68" s="149" t="s">
        <v>269</v>
      </c>
      <c r="D68" s="149"/>
      <c r="E68" s="149"/>
      <c r="F68" s="149"/>
      <c r="G68" s="149"/>
      <c r="H68" s="149"/>
      <c r="I68" s="149"/>
      <c r="J68" s="149"/>
      <c r="K68" s="149" t="s">
        <v>269</v>
      </c>
      <c r="L68" s="149" t="s">
        <v>269</v>
      </c>
      <c r="M68" s="149"/>
      <c r="N68" s="149"/>
      <c r="O68" s="149"/>
      <c r="P68" s="149"/>
      <c r="Q68" s="46"/>
    </row>
    <row r="69" spans="1:17" ht="13" x14ac:dyDescent="0.3">
      <c r="A69" s="139" t="s">
        <v>665</v>
      </c>
      <c r="B69" s="149" t="s">
        <v>269</v>
      </c>
      <c r="C69" s="149" t="s">
        <v>269</v>
      </c>
      <c r="D69" s="149"/>
      <c r="E69" s="149"/>
      <c r="F69" s="149"/>
      <c r="G69" s="149"/>
      <c r="H69" s="149"/>
      <c r="I69" s="149"/>
      <c r="J69" s="149"/>
      <c r="K69" s="149" t="s">
        <v>269</v>
      </c>
      <c r="L69" s="149" t="s">
        <v>269</v>
      </c>
      <c r="M69" s="149"/>
      <c r="N69" s="149"/>
      <c r="O69" s="149"/>
      <c r="P69" s="149"/>
      <c r="Q69" s="46"/>
    </row>
    <row r="70" spans="1:17" ht="13" x14ac:dyDescent="0.3">
      <c r="A70" s="139" t="s">
        <v>666</v>
      </c>
      <c r="B70" s="149" t="s">
        <v>269</v>
      </c>
      <c r="C70" s="149"/>
      <c r="D70" s="149" t="s">
        <v>269</v>
      </c>
      <c r="E70" s="149"/>
      <c r="F70" s="149" t="s">
        <v>269</v>
      </c>
      <c r="G70" s="149"/>
      <c r="H70" s="149"/>
      <c r="I70" s="149"/>
      <c r="J70" s="149"/>
      <c r="K70" s="149" t="s">
        <v>269</v>
      </c>
      <c r="L70" s="149" t="s">
        <v>269</v>
      </c>
      <c r="M70" s="149"/>
      <c r="N70" s="149" t="s">
        <v>269</v>
      </c>
      <c r="O70" s="149"/>
      <c r="P70" s="149"/>
      <c r="Q70" s="46"/>
    </row>
    <row r="71" spans="1:17" ht="13" x14ac:dyDescent="0.3">
      <c r="A71" s="139" t="s">
        <v>667</v>
      </c>
      <c r="B71" s="149" t="s">
        <v>269</v>
      </c>
      <c r="C71" s="149"/>
      <c r="D71" s="149" t="s">
        <v>269</v>
      </c>
      <c r="E71" s="149"/>
      <c r="F71" s="149" t="s">
        <v>269</v>
      </c>
      <c r="G71" s="149"/>
      <c r="H71" s="149"/>
      <c r="I71" s="149"/>
      <c r="J71" s="149"/>
      <c r="K71" s="149" t="s">
        <v>269</v>
      </c>
      <c r="L71" s="149" t="s">
        <v>269</v>
      </c>
      <c r="M71" s="149"/>
      <c r="N71" s="149" t="s">
        <v>269</v>
      </c>
      <c r="O71" s="149"/>
      <c r="P71" s="149"/>
      <c r="Q71" s="46"/>
    </row>
    <row r="72" spans="1:17" ht="13" x14ac:dyDescent="0.3">
      <c r="A72" s="139" t="s">
        <v>668</v>
      </c>
      <c r="B72" s="149" t="s">
        <v>269</v>
      </c>
      <c r="C72" s="149"/>
      <c r="D72" s="149" t="s">
        <v>269</v>
      </c>
      <c r="E72" s="149"/>
      <c r="F72" s="149" t="s">
        <v>269</v>
      </c>
      <c r="G72" s="149"/>
      <c r="H72" s="149"/>
      <c r="I72" s="149"/>
      <c r="J72" s="149"/>
      <c r="K72" s="149" t="s">
        <v>269</v>
      </c>
      <c r="L72" s="149" t="s">
        <v>269</v>
      </c>
      <c r="M72" s="149"/>
      <c r="N72" s="149" t="s">
        <v>269</v>
      </c>
      <c r="O72" s="149"/>
      <c r="P72" s="149"/>
      <c r="Q72" s="46"/>
    </row>
    <row r="73" spans="1:17" ht="13" x14ac:dyDescent="0.3">
      <c r="A73" s="139" t="s">
        <v>669</v>
      </c>
      <c r="B73" s="149" t="s">
        <v>269</v>
      </c>
      <c r="C73" s="149"/>
      <c r="D73" s="149" t="s">
        <v>269</v>
      </c>
      <c r="E73" s="149"/>
      <c r="F73" s="149" t="s">
        <v>269</v>
      </c>
      <c r="G73" s="149"/>
      <c r="H73" s="149"/>
      <c r="I73" s="149"/>
      <c r="J73" s="149"/>
      <c r="K73" s="149" t="s">
        <v>269</v>
      </c>
      <c r="L73" s="149" t="s">
        <v>269</v>
      </c>
      <c r="M73" s="149"/>
      <c r="N73" s="149" t="s">
        <v>269</v>
      </c>
      <c r="O73" s="149" t="s">
        <v>269</v>
      </c>
      <c r="P73" s="149"/>
      <c r="Q73" s="46"/>
    </row>
    <row r="74" spans="1:17" ht="13" x14ac:dyDescent="0.3">
      <c r="A74" s="139" t="s">
        <v>670</v>
      </c>
      <c r="B74" s="149" t="s">
        <v>269</v>
      </c>
      <c r="C74" s="149"/>
      <c r="D74" s="149" t="s">
        <v>269</v>
      </c>
      <c r="E74" s="149"/>
      <c r="F74" s="149" t="s">
        <v>269</v>
      </c>
      <c r="G74" s="149"/>
      <c r="H74" s="149"/>
      <c r="I74" s="149"/>
      <c r="J74" s="149"/>
      <c r="K74" s="149" t="s">
        <v>269</v>
      </c>
      <c r="L74" s="149" t="s">
        <v>269</v>
      </c>
      <c r="M74" s="149"/>
      <c r="N74" s="149" t="s">
        <v>269</v>
      </c>
      <c r="O74" s="149"/>
      <c r="P74" s="149"/>
      <c r="Q74" s="46"/>
    </row>
    <row r="75" spans="1:17" ht="13" x14ac:dyDescent="0.3">
      <c r="A75" s="139" t="s">
        <v>671</v>
      </c>
      <c r="B75" s="149" t="s">
        <v>269</v>
      </c>
      <c r="C75" s="149"/>
      <c r="D75" s="149" t="s">
        <v>269</v>
      </c>
      <c r="E75" s="149"/>
      <c r="F75" s="149" t="s">
        <v>269</v>
      </c>
      <c r="G75" s="149"/>
      <c r="H75" s="149"/>
      <c r="I75" s="149"/>
      <c r="J75" s="149"/>
      <c r="K75" s="149" t="s">
        <v>269</v>
      </c>
      <c r="L75" s="149" t="s">
        <v>269</v>
      </c>
      <c r="M75" s="149"/>
      <c r="N75" s="149" t="s">
        <v>269</v>
      </c>
      <c r="O75" s="149"/>
      <c r="P75" s="149"/>
      <c r="Q75" s="46"/>
    </row>
    <row r="76" spans="1:17" ht="13" x14ac:dyDescent="0.3">
      <c r="A76" s="139" t="s">
        <v>672</v>
      </c>
      <c r="B76" s="149" t="s">
        <v>269</v>
      </c>
      <c r="C76" s="149"/>
      <c r="D76" s="149" t="s">
        <v>269</v>
      </c>
      <c r="E76" s="149"/>
      <c r="F76" s="149" t="s">
        <v>269</v>
      </c>
      <c r="G76" s="149"/>
      <c r="H76" s="149"/>
      <c r="I76" s="149"/>
      <c r="J76" s="149"/>
      <c r="K76" s="149" t="s">
        <v>269</v>
      </c>
      <c r="L76" s="149" t="s">
        <v>269</v>
      </c>
      <c r="M76" s="149"/>
      <c r="N76" s="149" t="s">
        <v>269</v>
      </c>
      <c r="O76" s="149"/>
      <c r="P76" s="149"/>
      <c r="Q76" s="46"/>
    </row>
    <row r="77" spans="1:17" ht="13" x14ac:dyDescent="0.3">
      <c r="A77" s="139" t="s">
        <v>673</v>
      </c>
      <c r="B77" s="149" t="s">
        <v>269</v>
      </c>
      <c r="C77" s="149"/>
      <c r="D77" s="149" t="s">
        <v>269</v>
      </c>
      <c r="E77" s="149"/>
      <c r="F77" s="149" t="s">
        <v>269</v>
      </c>
      <c r="G77" s="149"/>
      <c r="H77" s="149"/>
      <c r="I77" s="149"/>
      <c r="J77" s="149"/>
      <c r="K77" s="149" t="s">
        <v>269</v>
      </c>
      <c r="L77" s="149" t="s">
        <v>269</v>
      </c>
      <c r="M77" s="149"/>
      <c r="N77" s="149" t="s">
        <v>269</v>
      </c>
      <c r="O77" s="149"/>
      <c r="P77" s="149"/>
      <c r="Q77" s="46"/>
    </row>
    <row r="78" spans="1:17" ht="13" x14ac:dyDescent="0.3">
      <c r="A78" s="139" t="s">
        <v>693</v>
      </c>
      <c r="B78" s="149" t="s">
        <v>269</v>
      </c>
      <c r="C78" s="149"/>
      <c r="D78" s="149" t="s">
        <v>269</v>
      </c>
      <c r="E78" s="149"/>
      <c r="F78" s="149"/>
      <c r="G78" s="149"/>
      <c r="H78" s="149"/>
      <c r="I78" s="149" t="s">
        <v>269</v>
      </c>
      <c r="J78" s="149"/>
      <c r="K78" s="149" t="s">
        <v>269</v>
      </c>
      <c r="L78" s="149" t="s">
        <v>269</v>
      </c>
      <c r="M78" s="149"/>
      <c r="N78" s="149" t="s">
        <v>269</v>
      </c>
      <c r="O78" s="149"/>
      <c r="P78" s="149"/>
      <c r="Q78" s="46"/>
    </row>
    <row r="79" spans="1:17" ht="13" x14ac:dyDescent="0.3">
      <c r="A79" s="139" t="s">
        <v>694</v>
      </c>
      <c r="B79" s="149" t="s">
        <v>269</v>
      </c>
      <c r="C79" s="149"/>
      <c r="D79" s="149" t="s">
        <v>269</v>
      </c>
      <c r="E79" s="149"/>
      <c r="F79" s="149"/>
      <c r="G79" s="149"/>
      <c r="H79" s="149"/>
      <c r="I79" s="149" t="s">
        <v>269</v>
      </c>
      <c r="J79" s="149"/>
      <c r="K79" s="149" t="s">
        <v>269</v>
      </c>
      <c r="L79" s="149" t="s">
        <v>269</v>
      </c>
      <c r="M79" s="149"/>
      <c r="N79" s="149"/>
      <c r="O79" s="149"/>
      <c r="P79" s="149"/>
      <c r="Q79" s="46"/>
    </row>
    <row r="80" spans="1:17" ht="13" x14ac:dyDescent="0.3">
      <c r="A80" s="139" t="s">
        <v>695</v>
      </c>
      <c r="B80" s="149" t="s">
        <v>269</v>
      </c>
      <c r="C80" s="149"/>
      <c r="D80" s="149" t="s">
        <v>269</v>
      </c>
      <c r="E80" s="149"/>
      <c r="F80" s="149"/>
      <c r="G80" s="149"/>
      <c r="H80" s="149"/>
      <c r="I80" s="149" t="s">
        <v>269</v>
      </c>
      <c r="J80" s="149"/>
      <c r="K80" s="149" t="s">
        <v>269</v>
      </c>
      <c r="L80" s="149" t="s">
        <v>269</v>
      </c>
      <c r="M80" s="149"/>
      <c r="N80" s="149" t="s">
        <v>269</v>
      </c>
      <c r="O80" s="149" t="s">
        <v>269</v>
      </c>
      <c r="P80" s="149"/>
      <c r="Q80" s="46"/>
    </row>
    <row r="81" spans="1:17" ht="13" x14ac:dyDescent="0.3">
      <c r="A81" s="139" t="s">
        <v>696</v>
      </c>
      <c r="B81" s="149" t="s">
        <v>269</v>
      </c>
      <c r="C81" s="149"/>
      <c r="D81" s="149" t="s">
        <v>269</v>
      </c>
      <c r="E81" s="149"/>
      <c r="F81" s="149"/>
      <c r="G81" s="149"/>
      <c r="H81" s="149"/>
      <c r="I81" s="149" t="s">
        <v>269</v>
      </c>
      <c r="J81" s="149"/>
      <c r="K81" s="149" t="s">
        <v>269</v>
      </c>
      <c r="L81" s="149" t="s">
        <v>269</v>
      </c>
      <c r="M81" s="149"/>
      <c r="N81" s="149" t="s">
        <v>269</v>
      </c>
      <c r="O81" s="149"/>
      <c r="P81" s="149"/>
      <c r="Q81" s="46"/>
    </row>
    <row r="82" spans="1:17" ht="13" x14ac:dyDescent="0.3">
      <c r="A82" s="139" t="s">
        <v>707</v>
      </c>
      <c r="B82" s="149" t="s">
        <v>269</v>
      </c>
      <c r="C82" s="149"/>
      <c r="D82" s="149" t="s">
        <v>269</v>
      </c>
      <c r="E82" s="149"/>
      <c r="F82" s="149"/>
      <c r="G82" s="149"/>
      <c r="H82" s="149"/>
      <c r="I82" s="149" t="s">
        <v>269</v>
      </c>
      <c r="J82" s="149"/>
      <c r="K82" s="149" t="s">
        <v>269</v>
      </c>
      <c r="L82" s="149" t="s">
        <v>269</v>
      </c>
      <c r="M82" s="149"/>
      <c r="N82" s="149" t="s">
        <v>269</v>
      </c>
      <c r="O82" s="149"/>
      <c r="P82" s="149"/>
      <c r="Q82" s="46"/>
    </row>
    <row r="83" spans="1:17" ht="13" x14ac:dyDescent="0.3">
      <c r="A83" s="139" t="s">
        <v>708</v>
      </c>
      <c r="B83" s="149" t="s">
        <v>269</v>
      </c>
      <c r="C83" s="149"/>
      <c r="D83" s="149" t="s">
        <v>269</v>
      </c>
      <c r="E83" s="149"/>
      <c r="F83" s="149"/>
      <c r="G83" s="149"/>
      <c r="H83" s="149"/>
      <c r="I83" s="149" t="s">
        <v>269</v>
      </c>
      <c r="J83" s="149"/>
      <c r="K83" s="149" t="s">
        <v>269</v>
      </c>
      <c r="L83" s="149" t="s">
        <v>269</v>
      </c>
      <c r="M83" s="149"/>
      <c r="N83" s="149"/>
      <c r="O83" s="149"/>
      <c r="P83" s="149"/>
      <c r="Q83" s="46"/>
    </row>
    <row r="84" spans="1:17" ht="13" x14ac:dyDescent="0.3">
      <c r="A84" s="139" t="s">
        <v>709</v>
      </c>
      <c r="B84" s="149" t="s">
        <v>269</v>
      </c>
      <c r="C84" s="149"/>
      <c r="D84" s="149"/>
      <c r="E84" s="149"/>
      <c r="F84" s="149"/>
      <c r="G84" s="149" t="s">
        <v>269</v>
      </c>
      <c r="H84" s="149" t="s">
        <v>269</v>
      </c>
      <c r="I84" s="149"/>
      <c r="J84" s="149"/>
      <c r="K84" s="149" t="s">
        <v>269</v>
      </c>
      <c r="L84" s="149" t="s">
        <v>269</v>
      </c>
      <c r="M84" s="149"/>
      <c r="N84" s="149" t="s">
        <v>269</v>
      </c>
      <c r="O84" s="149"/>
      <c r="P84" s="149"/>
      <c r="Q84" s="46"/>
    </row>
    <row r="85" spans="1:17" ht="13" x14ac:dyDescent="0.3">
      <c r="A85" s="139" t="s">
        <v>710</v>
      </c>
      <c r="B85" s="149" t="s">
        <v>269</v>
      </c>
      <c r="C85" s="149" t="s">
        <v>269</v>
      </c>
      <c r="D85" s="149"/>
      <c r="E85" s="149"/>
      <c r="F85" s="149"/>
      <c r="G85" s="149" t="s">
        <v>269</v>
      </c>
      <c r="H85" s="149" t="s">
        <v>269</v>
      </c>
      <c r="I85" s="149"/>
      <c r="J85" s="149"/>
      <c r="K85" s="149" t="s">
        <v>269</v>
      </c>
      <c r="L85" s="149" t="s">
        <v>269</v>
      </c>
      <c r="M85" s="149"/>
      <c r="N85" s="149" t="s">
        <v>269</v>
      </c>
      <c r="O85" s="149"/>
      <c r="P85" s="149"/>
      <c r="Q85" s="46"/>
    </row>
    <row r="86" spans="1:17" ht="13" x14ac:dyDescent="0.3">
      <c r="A86" s="139" t="s">
        <v>711</v>
      </c>
      <c r="B86" s="149" t="s">
        <v>269</v>
      </c>
      <c r="C86" s="149"/>
      <c r="D86" s="149"/>
      <c r="E86" s="149"/>
      <c r="F86" s="149"/>
      <c r="G86" s="149" t="s">
        <v>269</v>
      </c>
      <c r="H86" s="149" t="s">
        <v>269</v>
      </c>
      <c r="I86" s="149"/>
      <c r="J86" s="149"/>
      <c r="K86" s="149" t="s">
        <v>269</v>
      </c>
      <c r="L86" s="149" t="s">
        <v>269</v>
      </c>
      <c r="M86" s="149"/>
      <c r="N86" s="149" t="s">
        <v>269</v>
      </c>
      <c r="O86" s="149"/>
      <c r="P86" s="149"/>
      <c r="Q86" s="46"/>
    </row>
    <row r="87" spans="1:17" ht="13" x14ac:dyDescent="0.3">
      <c r="A87" s="139" t="s">
        <v>720</v>
      </c>
      <c r="B87" s="149" t="s">
        <v>269</v>
      </c>
      <c r="C87" s="149"/>
      <c r="D87" s="149"/>
      <c r="E87" s="149"/>
      <c r="F87" s="149"/>
      <c r="G87" s="149" t="s">
        <v>269</v>
      </c>
      <c r="H87" s="149" t="s">
        <v>269</v>
      </c>
      <c r="I87" s="149"/>
      <c r="J87" s="149"/>
      <c r="K87" s="149" t="s">
        <v>269</v>
      </c>
      <c r="L87" s="149" t="s">
        <v>269</v>
      </c>
      <c r="M87" s="149"/>
      <c r="N87" s="149" t="s">
        <v>269</v>
      </c>
      <c r="O87" s="149"/>
      <c r="P87" s="149"/>
      <c r="Q87" s="46"/>
    </row>
    <row r="88" spans="1:17" ht="13" x14ac:dyDescent="0.3">
      <c r="A88" s="139" t="s">
        <v>721</v>
      </c>
      <c r="B88" s="149" t="s">
        <v>269</v>
      </c>
      <c r="C88" s="149"/>
      <c r="D88" s="149"/>
      <c r="E88" s="149"/>
      <c r="F88" s="149"/>
      <c r="G88" s="149" t="s">
        <v>269</v>
      </c>
      <c r="H88" s="149" t="s">
        <v>269</v>
      </c>
      <c r="I88" s="149"/>
      <c r="J88" s="149"/>
      <c r="K88" s="149" t="s">
        <v>269</v>
      </c>
      <c r="L88" s="149" t="s">
        <v>269</v>
      </c>
      <c r="M88" s="149"/>
      <c r="N88" s="149" t="s">
        <v>269</v>
      </c>
      <c r="O88" s="149"/>
      <c r="P88" s="149"/>
      <c r="Q88" s="46"/>
    </row>
    <row r="89" spans="1:17" ht="13" x14ac:dyDescent="0.3">
      <c r="A89" s="139" t="s">
        <v>722</v>
      </c>
      <c r="B89" s="149" t="s">
        <v>269</v>
      </c>
      <c r="C89" s="149" t="s">
        <v>269</v>
      </c>
      <c r="D89" s="149"/>
      <c r="E89" s="149"/>
      <c r="F89" s="149"/>
      <c r="G89" s="149" t="s">
        <v>269</v>
      </c>
      <c r="H89" s="149" t="s">
        <v>269</v>
      </c>
      <c r="I89" s="149"/>
      <c r="J89" s="149"/>
      <c r="K89" s="149" t="s">
        <v>269</v>
      </c>
      <c r="L89" s="149" t="s">
        <v>269</v>
      </c>
      <c r="M89" s="149"/>
      <c r="N89" s="149" t="s">
        <v>269</v>
      </c>
      <c r="O89" s="149"/>
      <c r="P89" s="149"/>
      <c r="Q89" s="46"/>
    </row>
    <row r="90" spans="1:17" ht="13" x14ac:dyDescent="0.3">
      <c r="A90" s="139" t="s">
        <v>723</v>
      </c>
      <c r="B90" s="149" t="s">
        <v>269</v>
      </c>
      <c r="C90" s="149"/>
      <c r="D90" s="149" t="s">
        <v>269</v>
      </c>
      <c r="E90" s="149"/>
      <c r="F90" s="149"/>
      <c r="G90" s="149" t="s">
        <v>269</v>
      </c>
      <c r="H90" s="149" t="s">
        <v>269</v>
      </c>
      <c r="I90" s="149"/>
      <c r="J90" s="149"/>
      <c r="K90" s="149" t="s">
        <v>269</v>
      </c>
      <c r="L90" s="149" t="s">
        <v>269</v>
      </c>
      <c r="M90" s="149"/>
      <c r="N90" s="149" t="s">
        <v>269</v>
      </c>
      <c r="O90" s="149"/>
      <c r="P90" s="149"/>
      <c r="Q90" s="46"/>
    </row>
    <row r="91" spans="1:17" ht="13" x14ac:dyDescent="0.3">
      <c r="A91" s="139" t="s">
        <v>724</v>
      </c>
      <c r="B91" s="149" t="s">
        <v>269</v>
      </c>
      <c r="C91" s="149"/>
      <c r="D91" s="149" t="s">
        <v>269</v>
      </c>
      <c r="E91" s="149"/>
      <c r="F91" s="149"/>
      <c r="G91" s="149" t="s">
        <v>269</v>
      </c>
      <c r="H91" s="149" t="s">
        <v>269</v>
      </c>
      <c r="I91" s="149"/>
      <c r="J91" s="149"/>
      <c r="K91" s="149" t="s">
        <v>269</v>
      </c>
      <c r="L91" s="149" t="s">
        <v>269</v>
      </c>
      <c r="M91" s="149"/>
      <c r="N91" s="149" t="s">
        <v>269</v>
      </c>
      <c r="O91" s="149"/>
      <c r="P91" s="149"/>
      <c r="Q91" s="46"/>
    </row>
    <row r="92" spans="1:17" ht="13" x14ac:dyDescent="0.3">
      <c r="A92" s="139" t="s">
        <v>732</v>
      </c>
      <c r="B92" s="149" t="s">
        <v>269</v>
      </c>
      <c r="C92" s="149"/>
      <c r="D92" s="149" t="s">
        <v>269</v>
      </c>
      <c r="E92" s="149"/>
      <c r="F92" s="149"/>
      <c r="G92" s="149" t="s">
        <v>269</v>
      </c>
      <c r="H92" s="149" t="s">
        <v>269</v>
      </c>
      <c r="I92" s="149"/>
      <c r="J92" s="149"/>
      <c r="K92" s="149" t="s">
        <v>269</v>
      </c>
      <c r="L92" s="149" t="s">
        <v>269</v>
      </c>
      <c r="M92" s="149"/>
      <c r="N92" s="149" t="s">
        <v>269</v>
      </c>
      <c r="O92" s="149"/>
      <c r="P92" s="149"/>
      <c r="Q92" s="46"/>
    </row>
    <row r="93" spans="1:17" ht="13" x14ac:dyDescent="0.3">
      <c r="A93" s="139" t="s">
        <v>733</v>
      </c>
      <c r="B93" s="149" t="s">
        <v>269</v>
      </c>
      <c r="C93" s="149"/>
      <c r="D93" s="149" t="s">
        <v>269</v>
      </c>
      <c r="E93" s="149"/>
      <c r="F93" s="149"/>
      <c r="G93" s="149" t="s">
        <v>269</v>
      </c>
      <c r="H93" s="149" t="s">
        <v>269</v>
      </c>
      <c r="I93" s="149"/>
      <c r="J93" s="149"/>
      <c r="K93" s="149" t="s">
        <v>269</v>
      </c>
      <c r="L93" s="149" t="s">
        <v>269</v>
      </c>
      <c r="M93" s="149"/>
      <c r="N93" s="149" t="s">
        <v>269</v>
      </c>
      <c r="O93" s="149"/>
      <c r="P93" s="149"/>
      <c r="Q93" s="46"/>
    </row>
    <row r="94" spans="1:17" ht="13" x14ac:dyDescent="0.3">
      <c r="A94" s="139" t="s">
        <v>734</v>
      </c>
      <c r="B94" s="149" t="s">
        <v>269</v>
      </c>
      <c r="C94" s="149"/>
      <c r="D94" s="149" t="s">
        <v>269</v>
      </c>
      <c r="E94" s="149"/>
      <c r="F94" s="149"/>
      <c r="G94" s="149" t="s">
        <v>269</v>
      </c>
      <c r="H94" s="149" t="s">
        <v>269</v>
      </c>
      <c r="I94" s="149"/>
      <c r="J94" s="149"/>
      <c r="K94" s="149" t="s">
        <v>269</v>
      </c>
      <c r="L94" s="149" t="s">
        <v>269</v>
      </c>
      <c r="M94" s="149"/>
      <c r="N94" s="149" t="s">
        <v>269</v>
      </c>
      <c r="O94" s="149"/>
      <c r="P94" s="149"/>
      <c r="Q94" s="46"/>
    </row>
    <row r="95" spans="1:17" ht="13" x14ac:dyDescent="0.3">
      <c r="A95" s="139" t="s">
        <v>735</v>
      </c>
      <c r="B95" s="149" t="s">
        <v>269</v>
      </c>
      <c r="C95" s="149" t="s">
        <v>269</v>
      </c>
      <c r="D95" s="46"/>
      <c r="E95" s="149"/>
      <c r="F95" s="149"/>
      <c r="G95" s="149"/>
      <c r="H95" s="149"/>
      <c r="I95" s="149"/>
      <c r="J95" s="149"/>
      <c r="K95" s="149" t="s">
        <v>269</v>
      </c>
      <c r="L95" s="149" t="s">
        <v>269</v>
      </c>
      <c r="M95" s="149"/>
      <c r="N95" s="149"/>
      <c r="O95" s="149"/>
      <c r="P95" s="149"/>
      <c r="Q95" s="46"/>
    </row>
    <row r="96" spans="1:17" ht="13" x14ac:dyDescent="0.3">
      <c r="A96" s="139" t="s">
        <v>736</v>
      </c>
      <c r="B96" s="149" t="s">
        <v>269</v>
      </c>
      <c r="C96" s="149" t="s">
        <v>269</v>
      </c>
      <c r="D96" s="46"/>
      <c r="E96" s="149"/>
      <c r="F96" s="149"/>
      <c r="G96" s="149"/>
      <c r="H96" s="149"/>
      <c r="I96" s="149"/>
      <c r="J96" s="149"/>
      <c r="K96" s="149" t="s">
        <v>269</v>
      </c>
      <c r="L96" s="149" t="s">
        <v>269</v>
      </c>
      <c r="M96" s="149"/>
      <c r="N96" s="149"/>
      <c r="O96" s="149"/>
      <c r="P96" s="149"/>
      <c r="Q96" s="46"/>
    </row>
    <row r="97" spans="1:17" ht="13" x14ac:dyDescent="0.3">
      <c r="A97" s="139" t="s">
        <v>750</v>
      </c>
      <c r="B97" s="149" t="s">
        <v>269</v>
      </c>
      <c r="C97" s="149" t="s">
        <v>269</v>
      </c>
      <c r="D97" s="46"/>
      <c r="E97" s="149"/>
      <c r="F97" s="149"/>
      <c r="G97" s="149"/>
      <c r="H97" s="149"/>
      <c r="I97" s="149"/>
      <c r="J97" s="149"/>
      <c r="K97" s="149" t="s">
        <v>269</v>
      </c>
      <c r="L97" s="149" t="s">
        <v>269</v>
      </c>
      <c r="M97" s="149"/>
      <c r="N97" s="149"/>
      <c r="O97" s="149"/>
      <c r="P97" s="149"/>
      <c r="Q97" s="46"/>
    </row>
    <row r="98" spans="1:17" ht="13" x14ac:dyDescent="0.3">
      <c r="A98" s="139" t="s">
        <v>751</v>
      </c>
      <c r="B98" s="149" t="s">
        <v>269</v>
      </c>
      <c r="C98" s="149" t="s">
        <v>269</v>
      </c>
      <c r="D98" s="149"/>
      <c r="E98" s="149"/>
      <c r="F98" s="149"/>
      <c r="G98" s="149"/>
      <c r="H98" s="149"/>
      <c r="I98" s="149"/>
      <c r="J98" s="149"/>
      <c r="K98" s="149" t="s">
        <v>269</v>
      </c>
      <c r="L98" s="149" t="s">
        <v>269</v>
      </c>
      <c r="M98" s="149"/>
      <c r="N98" s="149"/>
      <c r="O98" s="149"/>
      <c r="P98" s="149"/>
      <c r="Q98" s="46"/>
    </row>
    <row r="99" spans="1:17" ht="13" x14ac:dyDescent="0.3">
      <c r="A99" s="139" t="s">
        <v>752</v>
      </c>
      <c r="B99" s="149" t="s">
        <v>269</v>
      </c>
      <c r="C99" s="149"/>
      <c r="D99" s="149" t="s">
        <v>269</v>
      </c>
      <c r="E99" s="149"/>
      <c r="F99" s="149" t="s">
        <v>269</v>
      </c>
      <c r="G99" s="149"/>
      <c r="H99" s="149"/>
      <c r="I99" s="149"/>
      <c r="J99" s="149"/>
      <c r="K99" s="149" t="s">
        <v>269</v>
      </c>
      <c r="L99" s="149" t="s">
        <v>269</v>
      </c>
      <c r="M99" s="149"/>
      <c r="N99" s="149"/>
      <c r="O99" s="149"/>
      <c r="P99" s="149"/>
      <c r="Q99" s="46"/>
    </row>
    <row r="100" spans="1:17" ht="13" x14ac:dyDescent="0.3">
      <c r="A100" s="139" t="s">
        <v>753</v>
      </c>
      <c r="B100" s="149" t="s">
        <v>269</v>
      </c>
      <c r="C100" s="149" t="s">
        <v>269</v>
      </c>
      <c r="D100" s="46"/>
      <c r="E100" s="149"/>
      <c r="F100" s="149"/>
      <c r="G100" s="149"/>
      <c r="H100" s="149"/>
      <c r="I100" s="149"/>
      <c r="J100" s="149"/>
      <c r="K100" s="149" t="s">
        <v>269</v>
      </c>
      <c r="L100" s="149" t="s">
        <v>269</v>
      </c>
      <c r="M100" s="149"/>
      <c r="N100" s="149"/>
      <c r="O100" s="149"/>
      <c r="P100" s="149"/>
      <c r="Q100" s="46"/>
    </row>
    <row r="101" spans="1:17" ht="13" x14ac:dyDescent="0.3">
      <c r="A101" s="139" t="s">
        <v>448</v>
      </c>
      <c r="B101" s="149" t="s">
        <v>269</v>
      </c>
      <c r="C101" s="149"/>
      <c r="D101" s="149" t="s">
        <v>269</v>
      </c>
      <c r="E101" s="149"/>
      <c r="F101" s="149"/>
      <c r="G101" s="149"/>
      <c r="H101" s="149"/>
      <c r="I101" s="149"/>
      <c r="J101" s="149"/>
      <c r="K101" s="149" t="s">
        <v>269</v>
      </c>
      <c r="L101" s="149" t="s">
        <v>269</v>
      </c>
      <c r="M101" s="149"/>
      <c r="N101" s="149" t="s">
        <v>269</v>
      </c>
      <c r="O101" s="149" t="s">
        <v>269</v>
      </c>
      <c r="P101" s="149"/>
      <c r="Q101" s="46"/>
    </row>
    <row r="102" spans="1:17" ht="13" x14ac:dyDescent="0.3">
      <c r="A102" s="139" t="s">
        <v>463</v>
      </c>
      <c r="B102" s="149" t="s">
        <v>269</v>
      </c>
      <c r="C102" s="149"/>
      <c r="D102" s="149"/>
      <c r="E102" s="149"/>
      <c r="F102" s="149"/>
      <c r="G102" s="149"/>
      <c r="H102" s="149"/>
      <c r="I102" s="149"/>
      <c r="J102" s="149"/>
      <c r="K102" s="149" t="s">
        <v>269</v>
      </c>
      <c r="L102" s="149" t="s">
        <v>269</v>
      </c>
      <c r="M102" s="149"/>
      <c r="N102" s="149" t="s">
        <v>269</v>
      </c>
      <c r="O102" s="149" t="s">
        <v>269</v>
      </c>
      <c r="P102" s="149"/>
      <c r="Q102" s="46"/>
    </row>
    <row r="103" spans="1:17" ht="13" x14ac:dyDescent="0.3">
      <c r="A103" s="139" t="s">
        <v>468</v>
      </c>
      <c r="B103" s="149" t="s">
        <v>269</v>
      </c>
      <c r="C103" s="149" t="s">
        <v>269</v>
      </c>
      <c r="D103" s="149"/>
      <c r="E103" s="149"/>
      <c r="F103" s="149"/>
      <c r="G103" s="149"/>
      <c r="H103" s="149"/>
      <c r="I103" s="149"/>
      <c r="J103" s="149"/>
      <c r="K103" s="149" t="s">
        <v>269</v>
      </c>
      <c r="L103" s="149" t="s">
        <v>269</v>
      </c>
      <c r="M103" s="149"/>
      <c r="N103" s="149" t="s">
        <v>269</v>
      </c>
      <c r="O103" s="149"/>
      <c r="P103" s="149"/>
      <c r="Q103" s="46"/>
    </row>
    <row r="104" spans="1:17" ht="13" x14ac:dyDescent="0.3">
      <c r="A104" s="139" t="s">
        <v>449</v>
      </c>
      <c r="B104" s="149" t="s">
        <v>269</v>
      </c>
      <c r="C104" s="149" t="s">
        <v>269</v>
      </c>
      <c r="D104" s="149"/>
      <c r="E104" s="149" t="s">
        <v>269</v>
      </c>
      <c r="F104" s="149"/>
      <c r="G104" s="149"/>
      <c r="H104" s="149"/>
      <c r="I104" s="149"/>
      <c r="J104" s="149"/>
      <c r="K104" s="149"/>
      <c r="L104" s="149"/>
      <c r="M104" s="149"/>
      <c r="N104" s="149"/>
      <c r="O104" s="149"/>
      <c r="P104" s="149"/>
      <c r="Q104" s="46"/>
    </row>
    <row r="105" spans="1:17" ht="13" x14ac:dyDescent="0.3">
      <c r="A105" s="139" t="s">
        <v>466</v>
      </c>
      <c r="B105" s="149" t="s">
        <v>269</v>
      </c>
      <c r="C105" s="149" t="s">
        <v>269</v>
      </c>
      <c r="D105" s="149"/>
      <c r="E105" s="149" t="s">
        <v>269</v>
      </c>
      <c r="F105" s="149"/>
      <c r="G105" s="149"/>
      <c r="H105" s="149"/>
      <c r="I105" s="149"/>
      <c r="J105" s="149"/>
      <c r="K105" s="149"/>
      <c r="L105" s="149"/>
      <c r="M105" s="149"/>
      <c r="N105" s="149"/>
      <c r="O105" s="149"/>
      <c r="P105" s="149"/>
      <c r="Q105" s="46"/>
    </row>
    <row r="106" spans="1:17" ht="13" x14ac:dyDescent="0.3">
      <c r="A106" s="139" t="s">
        <v>778</v>
      </c>
      <c r="B106" s="149" t="s">
        <v>269</v>
      </c>
      <c r="C106" s="149" t="s">
        <v>269</v>
      </c>
      <c r="D106" s="149"/>
      <c r="E106" s="149" t="s">
        <v>269</v>
      </c>
      <c r="F106" s="149"/>
      <c r="G106" s="149"/>
      <c r="H106" s="149"/>
      <c r="I106" s="149"/>
      <c r="J106" s="149"/>
      <c r="K106" s="149"/>
      <c r="L106" s="149"/>
      <c r="M106" s="149"/>
      <c r="N106" s="149"/>
      <c r="O106" s="149"/>
      <c r="P106" s="149"/>
      <c r="Q106" s="46"/>
    </row>
    <row r="107" spans="1:17" ht="13" x14ac:dyDescent="0.3">
      <c r="A107" s="139" t="s">
        <v>782</v>
      </c>
      <c r="B107" s="149" t="s">
        <v>269</v>
      </c>
      <c r="C107" s="149" t="s">
        <v>269</v>
      </c>
      <c r="D107" s="149"/>
      <c r="E107" s="149" t="s">
        <v>269</v>
      </c>
      <c r="F107" s="149"/>
      <c r="G107" s="149"/>
      <c r="H107" s="149"/>
      <c r="I107" s="149"/>
      <c r="J107" s="149"/>
      <c r="K107" s="149"/>
      <c r="L107" s="149"/>
      <c r="M107" s="149"/>
      <c r="N107" s="149"/>
      <c r="O107" s="149"/>
      <c r="P107" s="149"/>
      <c r="Q107" s="46"/>
    </row>
    <row r="108" spans="1:17" ht="13" x14ac:dyDescent="0.3">
      <c r="A108" s="139" t="s">
        <v>786</v>
      </c>
      <c r="B108" s="149" t="s">
        <v>269</v>
      </c>
      <c r="C108" s="149" t="s">
        <v>269</v>
      </c>
      <c r="D108" s="149"/>
      <c r="E108" s="149" t="s">
        <v>269</v>
      </c>
      <c r="F108" s="149"/>
      <c r="G108" s="149"/>
      <c r="H108" s="149"/>
      <c r="I108" s="149"/>
      <c r="J108" s="149"/>
      <c r="K108" s="149"/>
      <c r="L108" s="149"/>
      <c r="M108" s="149"/>
      <c r="N108" s="149"/>
      <c r="O108" s="149"/>
      <c r="P108" s="149"/>
      <c r="Q108" s="46"/>
    </row>
  </sheetData>
  <mergeCells count="2">
    <mergeCell ref="A1:A2"/>
    <mergeCell ref="B1:P1"/>
  </mergeCells>
  <phoneticPr fontId="6" type="noConversion"/>
  <pageMargins left="0.78740157499999996" right="0.78740157499999996" top="0.984251969" bottom="0.984251969" header="0.4921259845" footer="0.4921259845"/>
  <pageSetup paperSize="9" orientation="portrait" r:id="rId1"/>
  <headerFooter alignWithMargins="0">
    <oddFooter>&amp;L&amp;D&amp;C&amp;F - &amp;A_x000D_&amp;1#&amp;"Arial"&amp;8&amp;K000000 Internal&amp;R&amp;P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0">
    <tabColor indexed="44"/>
  </sheetPr>
  <dimension ref="A1:U55"/>
  <sheetViews>
    <sheetView workbookViewId="0"/>
  </sheetViews>
  <sheetFormatPr defaultColWidth="12.54296875" defaultRowHeight="14" x14ac:dyDescent="0.3"/>
  <cols>
    <col min="1" max="2" width="17.90625" style="48" customWidth="1"/>
    <col min="3" max="3" width="17.54296875" style="48" customWidth="1"/>
    <col min="4" max="4" width="27" style="49" customWidth="1"/>
    <col min="5" max="5" width="17.54296875" style="48" customWidth="1"/>
    <col min="6" max="16384" width="12.54296875" style="48"/>
  </cols>
  <sheetData>
    <row r="1" spans="1:5" ht="19" x14ac:dyDescent="0.4">
      <c r="A1" s="67" t="s">
        <v>56</v>
      </c>
      <c r="B1" s="67"/>
      <c r="C1" s="68"/>
      <c r="D1" s="68"/>
      <c r="E1" s="68"/>
    </row>
    <row r="2" spans="1:5" ht="25.5" customHeight="1" x14ac:dyDescent="0.3">
      <c r="A2" s="217" t="s">
        <v>94</v>
      </c>
      <c r="B2" s="218"/>
      <c r="C2" s="255" t="str">
        <f ca="1">MID(CELL("filename",$C$2),FIND("[",CELL("filename",$C$2))+1,FIND("]",CELL("filename",$C$2))-FIND("[",CELL("filename",$C$2))-1)</f>
        <v>PSM1TS.xlsm</v>
      </c>
      <c r="D2" s="256"/>
      <c r="E2" s="257"/>
    </row>
    <row r="3" spans="1:5" ht="20.149999999999999" customHeight="1" x14ac:dyDescent="0.3">
      <c r="A3" s="217" t="s">
        <v>95</v>
      </c>
      <c r="B3" s="218"/>
      <c r="C3" s="258"/>
      <c r="D3" s="258"/>
      <c r="E3" s="259"/>
    </row>
    <row r="4" spans="1:5" ht="20.149999999999999" customHeight="1" x14ac:dyDescent="0.3">
      <c r="A4" s="217" t="s">
        <v>96</v>
      </c>
      <c r="B4" s="218"/>
      <c r="C4" s="258"/>
      <c r="D4" s="258"/>
      <c r="E4" s="259"/>
    </row>
    <row r="5" spans="1:5" ht="33.75" customHeight="1" x14ac:dyDescent="0.3">
      <c r="A5" s="217" t="s">
        <v>97</v>
      </c>
      <c r="B5" s="218"/>
      <c r="C5" s="251"/>
      <c r="D5" s="251"/>
      <c r="E5" s="252"/>
    </row>
    <row r="6" spans="1:5" ht="39.9" customHeight="1" x14ac:dyDescent="0.3">
      <c r="A6" s="217" t="s">
        <v>57</v>
      </c>
      <c r="B6" s="218"/>
      <c r="C6" s="239"/>
      <c r="D6" s="239"/>
      <c r="E6" s="240"/>
    </row>
    <row r="7" spans="1:5" ht="48.75" customHeight="1" x14ac:dyDescent="0.3">
      <c r="A7" s="217" t="s">
        <v>211</v>
      </c>
      <c r="B7" s="218"/>
      <c r="C7" s="253"/>
      <c r="D7" s="253"/>
      <c r="E7" s="254"/>
    </row>
    <row r="8" spans="1:5" ht="39.9" customHeight="1" x14ac:dyDescent="0.3">
      <c r="A8" s="217" t="s">
        <v>58</v>
      </c>
      <c r="B8" s="218"/>
      <c r="C8" s="239" t="s">
        <v>59</v>
      </c>
      <c r="D8" s="239"/>
      <c r="E8" s="240"/>
    </row>
    <row r="9" spans="1:5" ht="20.149999999999999" customHeight="1" x14ac:dyDescent="0.3">
      <c r="A9" s="230" t="s">
        <v>60</v>
      </c>
      <c r="B9" s="231"/>
      <c r="C9" s="247"/>
      <c r="D9" s="247"/>
      <c r="E9" s="248"/>
    </row>
    <row r="10" spans="1:5" ht="20.149999999999999" customHeight="1" x14ac:dyDescent="0.3">
      <c r="A10" s="249" t="s">
        <v>61</v>
      </c>
      <c r="B10" s="250"/>
      <c r="C10" s="251" t="s">
        <v>62</v>
      </c>
      <c r="D10" s="251"/>
      <c r="E10" s="252"/>
    </row>
    <row r="11" spans="1:5" ht="39.9" customHeight="1" x14ac:dyDescent="0.3">
      <c r="A11" s="217" t="s">
        <v>63</v>
      </c>
      <c r="B11" s="218"/>
      <c r="C11" s="239" t="s">
        <v>64</v>
      </c>
      <c r="D11" s="239"/>
      <c r="E11" s="240"/>
    </row>
    <row r="12" spans="1:5" ht="39.9" customHeight="1" x14ac:dyDescent="0.3">
      <c r="A12" s="217" t="s">
        <v>65</v>
      </c>
      <c r="B12" s="218"/>
      <c r="C12" s="239" t="s">
        <v>66</v>
      </c>
      <c r="D12" s="239"/>
      <c r="E12" s="240"/>
    </row>
    <row r="13" spans="1:5" ht="39.9" customHeight="1" x14ac:dyDescent="0.3">
      <c r="A13" s="217" t="s">
        <v>67</v>
      </c>
      <c r="B13" s="218"/>
      <c r="C13" s="239" t="s">
        <v>68</v>
      </c>
      <c r="D13" s="239"/>
      <c r="E13" s="240"/>
    </row>
    <row r="14" spans="1:5" ht="39.9" customHeight="1" x14ac:dyDescent="0.3">
      <c r="A14" s="217" t="s">
        <v>69</v>
      </c>
      <c r="B14" s="218"/>
      <c r="C14" s="239" t="s">
        <v>70</v>
      </c>
      <c r="D14" s="239"/>
      <c r="E14" s="240"/>
    </row>
    <row r="15" spans="1:5" ht="39.9" customHeight="1" thickBot="1" x14ac:dyDescent="0.35">
      <c r="A15" s="201" t="s">
        <v>213</v>
      </c>
      <c r="B15" s="202"/>
      <c r="C15" s="241" t="s">
        <v>188</v>
      </c>
      <c r="D15" s="241"/>
      <c r="E15" s="242"/>
    </row>
    <row r="16" spans="1:5" ht="30" customHeight="1" x14ac:dyDescent="0.3"/>
    <row r="17" spans="1:5" ht="19.5" thickBot="1" x14ac:dyDescent="0.45">
      <c r="A17" s="67" t="s">
        <v>71</v>
      </c>
      <c r="B17" s="67"/>
      <c r="C17" s="68"/>
      <c r="D17" s="68"/>
      <c r="E17" s="68"/>
    </row>
    <row r="18" spans="1:5" ht="39.9" customHeight="1" x14ac:dyDescent="0.3">
      <c r="A18" s="243" t="s">
        <v>183</v>
      </c>
      <c r="B18" s="244"/>
      <c r="C18" s="245" t="s">
        <v>179</v>
      </c>
      <c r="D18" s="245"/>
      <c r="E18" s="246"/>
    </row>
    <row r="19" spans="1:5" ht="20.149999999999999" customHeight="1" x14ac:dyDescent="0.3">
      <c r="A19" s="230" t="s">
        <v>100</v>
      </c>
      <c r="B19" s="231"/>
      <c r="C19" s="232" t="s">
        <v>72</v>
      </c>
      <c r="D19" s="232"/>
      <c r="E19" s="233"/>
    </row>
    <row r="20" spans="1:5" ht="39.9" customHeight="1" x14ac:dyDescent="0.3">
      <c r="A20" s="217" t="s">
        <v>73</v>
      </c>
      <c r="B20" s="218"/>
      <c r="C20" s="234" t="s">
        <v>72</v>
      </c>
      <c r="D20" s="234"/>
      <c r="E20" s="235"/>
    </row>
    <row r="21" spans="1:5" ht="39.9" customHeight="1" x14ac:dyDescent="0.3">
      <c r="A21" s="217" t="s">
        <v>74</v>
      </c>
      <c r="B21" s="218"/>
      <c r="C21" s="236" t="s">
        <v>186</v>
      </c>
      <c r="D21" s="237"/>
      <c r="E21" s="238"/>
    </row>
    <row r="22" spans="1:5" ht="39.9" customHeight="1" x14ac:dyDescent="0.3">
      <c r="A22" s="217" t="s">
        <v>185</v>
      </c>
      <c r="B22" s="218"/>
      <c r="C22" s="226" t="s">
        <v>72</v>
      </c>
      <c r="D22" s="226"/>
      <c r="E22" s="227"/>
    </row>
    <row r="23" spans="1:5" ht="20.149999999999999" customHeight="1" x14ac:dyDescent="0.3">
      <c r="A23" s="217" t="s">
        <v>75</v>
      </c>
      <c r="B23" s="218"/>
      <c r="C23" s="115"/>
      <c r="D23" s="228" t="s">
        <v>98</v>
      </c>
      <c r="E23" s="229"/>
    </row>
    <row r="24" spans="1:5" ht="39.9" customHeight="1" x14ac:dyDescent="0.3">
      <c r="A24" s="217" t="s">
        <v>122</v>
      </c>
      <c r="B24" s="218"/>
      <c r="C24" s="219"/>
      <c r="D24" s="219"/>
      <c r="E24" s="220"/>
    </row>
    <row r="25" spans="1:5" ht="39.9" customHeight="1" x14ac:dyDescent="0.3">
      <c r="A25" s="217" t="s">
        <v>218</v>
      </c>
      <c r="B25" s="218"/>
      <c r="C25" s="219"/>
      <c r="D25" s="219"/>
      <c r="E25" s="220"/>
    </row>
    <row r="26" spans="1:5" ht="39.9" customHeight="1" x14ac:dyDescent="0.3">
      <c r="A26" s="217" t="s">
        <v>76</v>
      </c>
      <c r="B26" s="218"/>
      <c r="C26" s="219"/>
      <c r="D26" s="219"/>
      <c r="E26" s="220"/>
    </row>
    <row r="27" spans="1:5" ht="39.9" customHeight="1" x14ac:dyDescent="0.3">
      <c r="A27" s="221" t="s">
        <v>77</v>
      </c>
      <c r="B27" s="222"/>
      <c r="C27" s="223"/>
      <c r="D27" s="224"/>
      <c r="E27" s="225"/>
    </row>
    <row r="28" spans="1:5" ht="39.9" customHeight="1" thickBot="1" x14ac:dyDescent="0.35">
      <c r="A28" s="201" t="s">
        <v>78</v>
      </c>
      <c r="B28" s="202"/>
      <c r="C28" s="63" t="s">
        <v>93</v>
      </c>
      <c r="D28" s="203"/>
      <c r="E28" s="204"/>
    </row>
    <row r="29" spans="1:5" ht="69.75" customHeight="1" thickBot="1" x14ac:dyDescent="0.35">
      <c r="A29" s="205" t="s">
        <v>210</v>
      </c>
      <c r="B29" s="206"/>
      <c r="C29" s="207" t="s">
        <v>72</v>
      </c>
      <c r="D29" s="207"/>
      <c r="E29" s="208"/>
    </row>
    <row r="30" spans="1:5" ht="58.5" customHeight="1" thickBot="1" x14ac:dyDescent="0.45">
      <c r="A30" s="47" t="s">
        <v>79</v>
      </c>
      <c r="B30" s="50"/>
    </row>
    <row r="31" spans="1:5" ht="15.5" x14ac:dyDescent="0.3">
      <c r="A31" s="64" t="s">
        <v>45</v>
      </c>
      <c r="B31" s="65" t="s">
        <v>123</v>
      </c>
      <c r="C31" s="209" t="s">
        <v>80</v>
      </c>
      <c r="D31" s="210"/>
      <c r="E31" s="66" t="s">
        <v>219</v>
      </c>
    </row>
    <row r="32" spans="1:5" ht="15.5" x14ac:dyDescent="0.3">
      <c r="A32" s="51"/>
      <c r="B32" s="52"/>
      <c r="C32" s="211"/>
      <c r="D32" s="212"/>
      <c r="E32" s="53"/>
    </row>
    <row r="33" spans="1:7" ht="15.5" x14ac:dyDescent="0.3">
      <c r="A33" s="51"/>
      <c r="B33" s="52"/>
      <c r="C33" s="197"/>
      <c r="D33" s="213"/>
      <c r="E33" s="53"/>
    </row>
    <row r="34" spans="1:7" ht="16" thickBot="1" x14ac:dyDescent="0.35">
      <c r="A34" s="54"/>
      <c r="B34" s="55"/>
      <c r="C34" s="189"/>
      <c r="D34" s="214"/>
      <c r="E34" s="56"/>
    </row>
    <row r="35" spans="1:7" ht="30" customHeight="1" x14ac:dyDescent="0.3"/>
    <row r="36" spans="1:7" ht="19.5" thickBot="1" x14ac:dyDescent="0.45">
      <c r="A36" s="194" t="s">
        <v>81</v>
      </c>
      <c r="B36" s="194"/>
      <c r="C36" s="194"/>
    </row>
    <row r="37" spans="1:7" ht="31" x14ac:dyDescent="0.3">
      <c r="A37" s="64" t="s">
        <v>4</v>
      </c>
      <c r="B37" s="65" t="s">
        <v>82</v>
      </c>
      <c r="C37" s="215" t="s">
        <v>9</v>
      </c>
      <c r="D37" s="215"/>
      <c r="E37" s="216"/>
    </row>
    <row r="38" spans="1:7" ht="15.5" x14ac:dyDescent="0.3">
      <c r="A38" s="51"/>
      <c r="B38" s="52"/>
      <c r="C38" s="199"/>
      <c r="D38" s="199"/>
      <c r="E38" s="200"/>
    </row>
    <row r="39" spans="1:7" ht="15.5" x14ac:dyDescent="0.3">
      <c r="A39" s="51"/>
      <c r="B39" s="52"/>
      <c r="C39" s="199"/>
      <c r="D39" s="199"/>
      <c r="E39" s="200"/>
    </row>
    <row r="40" spans="1:7" ht="16" thickBot="1" x14ac:dyDescent="0.35">
      <c r="A40" s="54"/>
      <c r="B40" s="55"/>
      <c r="C40" s="192"/>
      <c r="D40" s="192"/>
      <c r="E40" s="193"/>
    </row>
    <row r="41" spans="1:7" ht="15.5" x14ac:dyDescent="0.3">
      <c r="A41" s="116"/>
      <c r="B41" s="116"/>
      <c r="C41" s="117"/>
      <c r="D41" s="117"/>
      <c r="E41" s="117"/>
    </row>
    <row r="42" spans="1:7" ht="19" x14ac:dyDescent="0.4">
      <c r="A42" s="194" t="s">
        <v>220</v>
      </c>
      <c r="B42" s="194"/>
      <c r="C42" s="194"/>
      <c r="D42" s="117"/>
      <c r="E42" s="117"/>
    </row>
    <row r="43" spans="1:7" s="49" customFormat="1" ht="30" customHeight="1" x14ac:dyDescent="0.3">
      <c r="A43" s="186" t="s">
        <v>225</v>
      </c>
      <c r="B43" s="186"/>
      <c r="C43" s="186"/>
      <c r="D43" s="186"/>
      <c r="E43" s="186"/>
      <c r="F43" s="186"/>
      <c r="G43" s="186"/>
    </row>
    <row r="44" spans="1:7" ht="15.5" x14ac:dyDescent="0.3">
      <c r="A44" s="118" t="s">
        <v>4</v>
      </c>
      <c r="B44" s="119" t="s">
        <v>222</v>
      </c>
      <c r="C44" s="119" t="s">
        <v>223</v>
      </c>
      <c r="D44" s="195" t="s">
        <v>224</v>
      </c>
      <c r="E44" s="196"/>
    </row>
    <row r="45" spans="1:7" ht="170.5" x14ac:dyDescent="0.3">
      <c r="A45" s="51" t="s">
        <v>226</v>
      </c>
      <c r="B45" s="52"/>
      <c r="C45" s="52"/>
      <c r="D45" s="197"/>
      <c r="E45" s="198"/>
    </row>
    <row r="46" spans="1:7" ht="140" thickBot="1" x14ac:dyDescent="0.35">
      <c r="A46" s="54" t="s">
        <v>221</v>
      </c>
      <c r="B46" s="55"/>
      <c r="C46" s="55"/>
      <c r="D46" s="189"/>
      <c r="E46" s="190"/>
    </row>
    <row r="47" spans="1:7" ht="15.5" x14ac:dyDescent="0.3">
      <c r="A47" s="116"/>
      <c r="B47" s="116"/>
      <c r="C47" s="117"/>
      <c r="D47" s="117"/>
      <c r="E47" s="117"/>
    </row>
    <row r="48" spans="1:7" s="49" customFormat="1" ht="40.5" customHeight="1" thickBot="1" x14ac:dyDescent="0.35">
      <c r="A48" s="186" t="s">
        <v>227</v>
      </c>
      <c r="B48" s="186"/>
      <c r="C48" s="186"/>
      <c r="D48" s="186"/>
      <c r="E48" s="186"/>
      <c r="F48" s="186"/>
      <c r="G48" s="186"/>
    </row>
    <row r="49" spans="1:21" ht="15.5" x14ac:dyDescent="0.3">
      <c r="A49" s="64" t="s">
        <v>4</v>
      </c>
      <c r="B49" s="65" t="s">
        <v>222</v>
      </c>
      <c r="C49" s="65" t="s">
        <v>223</v>
      </c>
      <c r="D49" s="187" t="s">
        <v>224</v>
      </c>
      <c r="E49" s="188"/>
    </row>
    <row r="50" spans="1:21" ht="140" thickBot="1" x14ac:dyDescent="0.35">
      <c r="A50" s="54" t="s">
        <v>228</v>
      </c>
      <c r="B50" s="55"/>
      <c r="C50" s="55"/>
      <c r="D50" s="189"/>
      <c r="E50" s="190"/>
    </row>
    <row r="51" spans="1:21" ht="15.5" x14ac:dyDescent="0.3">
      <c r="A51" s="116"/>
      <c r="B51" s="116"/>
      <c r="C51" s="117"/>
      <c r="D51" s="117"/>
      <c r="E51" s="117"/>
    </row>
    <row r="53" spans="1:21" ht="19" x14ac:dyDescent="0.4">
      <c r="A53" s="191" t="s">
        <v>101</v>
      </c>
      <c r="B53" s="191"/>
      <c r="C53" s="191"/>
    </row>
    <row r="54" spans="1:21" s="123" customFormat="1" ht="128.5" x14ac:dyDescent="0.25">
      <c r="A54" s="114" t="s">
        <v>102</v>
      </c>
      <c r="B54" s="114" t="s">
        <v>103</v>
      </c>
      <c r="C54" s="114" t="s">
        <v>104</v>
      </c>
      <c r="D54" s="114" t="s">
        <v>105</v>
      </c>
      <c r="E54" s="114" t="s">
        <v>106</v>
      </c>
      <c r="F54" s="114" t="s">
        <v>107</v>
      </c>
      <c r="G54" s="114" t="s">
        <v>108</v>
      </c>
      <c r="H54" s="114" t="s">
        <v>109</v>
      </c>
      <c r="I54" s="120" t="s">
        <v>110</v>
      </c>
      <c r="J54" s="121" t="s">
        <v>111</v>
      </c>
      <c r="K54" s="114" t="s">
        <v>112</v>
      </c>
      <c r="L54" s="114" t="s">
        <v>113</v>
      </c>
      <c r="M54" s="120" t="s">
        <v>114</v>
      </c>
      <c r="N54" s="121" t="s">
        <v>115</v>
      </c>
      <c r="O54" s="114" t="s">
        <v>91</v>
      </c>
      <c r="P54" s="122" t="s">
        <v>116</v>
      </c>
      <c r="Q54" s="114" t="s">
        <v>117</v>
      </c>
      <c r="R54" s="114" t="s">
        <v>218</v>
      </c>
      <c r="S54" s="114" t="s">
        <v>76</v>
      </c>
      <c r="T54" s="114" t="s">
        <v>118</v>
      </c>
      <c r="U54" s="114" t="s">
        <v>119</v>
      </c>
    </row>
    <row r="55" spans="1:21" x14ac:dyDescent="0.3">
      <c r="D55" s="70" t="s">
        <v>120</v>
      </c>
      <c r="E55" s="70" t="s">
        <v>121</v>
      </c>
      <c r="F55" s="48" t="str">
        <f>C18</f>
        <v>FULL</v>
      </c>
      <c r="H55" s="71">
        <f>C5</f>
        <v>0</v>
      </c>
      <c r="I55" s="71" t="str">
        <f>Tester</f>
        <v>     </v>
      </c>
      <c r="J55" s="94"/>
      <c r="K55" s="94"/>
      <c r="L55" s="94"/>
      <c r="M55" s="94" t="str">
        <f>TestDate</f>
        <v>     </v>
      </c>
      <c r="N55" s="70" t="s">
        <v>189</v>
      </c>
      <c r="O55" s="71">
        <f>TestResult</f>
        <v>0</v>
      </c>
      <c r="P55" s="71">
        <f>C23</f>
        <v>0</v>
      </c>
      <c r="Q55" s="71">
        <f>$C$24</f>
        <v>0</v>
      </c>
      <c r="R55" s="71">
        <f>$C$25</f>
        <v>0</v>
      </c>
      <c r="S55" s="71">
        <f>$C$26</f>
        <v>0</v>
      </c>
      <c r="T55" s="71">
        <f>$D$28</f>
        <v>0</v>
      </c>
    </row>
  </sheetData>
  <mergeCells count="70">
    <mergeCell ref="A2:B2"/>
    <mergeCell ref="C2:E2"/>
    <mergeCell ref="A3:B3"/>
    <mergeCell ref="C3:E3"/>
    <mergeCell ref="A4:B4"/>
    <mergeCell ref="C4:E4"/>
    <mergeCell ref="A5:B5"/>
    <mergeCell ref="C5:E5"/>
    <mergeCell ref="A6:B6"/>
    <mergeCell ref="C6:E6"/>
    <mergeCell ref="A7:B7"/>
    <mergeCell ref="C7:E7"/>
    <mergeCell ref="A8:B8"/>
    <mergeCell ref="C8:E8"/>
    <mergeCell ref="A9:B9"/>
    <mergeCell ref="C9:E9"/>
    <mergeCell ref="A10:B10"/>
    <mergeCell ref="C10:E10"/>
    <mergeCell ref="A11:B11"/>
    <mergeCell ref="C11:E11"/>
    <mergeCell ref="A12:B12"/>
    <mergeCell ref="C12:E12"/>
    <mergeCell ref="A13:B13"/>
    <mergeCell ref="C13:E13"/>
    <mergeCell ref="A14:B14"/>
    <mergeCell ref="C14:E14"/>
    <mergeCell ref="A15:B15"/>
    <mergeCell ref="C15:E15"/>
    <mergeCell ref="A18:B18"/>
    <mergeCell ref="C18:E18"/>
    <mergeCell ref="A19:B19"/>
    <mergeCell ref="C19:E19"/>
    <mergeCell ref="A20:B20"/>
    <mergeCell ref="C20:E20"/>
    <mergeCell ref="A21:B21"/>
    <mergeCell ref="C21:E21"/>
    <mergeCell ref="A22:B22"/>
    <mergeCell ref="C22:E22"/>
    <mergeCell ref="A23:B23"/>
    <mergeCell ref="D23:E23"/>
    <mergeCell ref="A24:B24"/>
    <mergeCell ref="C24:E24"/>
    <mergeCell ref="A25:B25"/>
    <mergeCell ref="C25:E25"/>
    <mergeCell ref="A26:B26"/>
    <mergeCell ref="C26:E26"/>
    <mergeCell ref="A27:B27"/>
    <mergeCell ref="C27:E27"/>
    <mergeCell ref="C39:E39"/>
    <mergeCell ref="A28:B28"/>
    <mergeCell ref="D28:E28"/>
    <mergeCell ref="A29:B29"/>
    <mergeCell ref="C29:E29"/>
    <mergeCell ref="C31:D31"/>
    <mergeCell ref="C32:D32"/>
    <mergeCell ref="C33:D33"/>
    <mergeCell ref="C34:D34"/>
    <mergeCell ref="A36:C36"/>
    <mergeCell ref="C37:E37"/>
    <mergeCell ref="C38:E38"/>
    <mergeCell ref="A48:G48"/>
    <mergeCell ref="D49:E49"/>
    <mergeCell ref="D50:E50"/>
    <mergeCell ref="A53:C53"/>
    <mergeCell ref="C40:E40"/>
    <mergeCell ref="A42:C42"/>
    <mergeCell ref="A43:G43"/>
    <mergeCell ref="D44:E44"/>
    <mergeCell ref="D45:E45"/>
    <mergeCell ref="D46:E46"/>
  </mergeCells>
  <conditionalFormatting sqref="N54:O54">
    <cfRule type="cellIs" dxfId="26" priority="1" stopIfTrue="1" operator="equal">
      <formula>"passed"</formula>
    </cfRule>
    <cfRule type="cellIs" dxfId="25" priority="2" stopIfTrue="1" operator="equal">
      <formula>"cond. acc."</formula>
    </cfRule>
    <cfRule type="cellIs" dxfId="24" priority="3" stopIfTrue="1" operator="equal">
      <formula>"failed"</formula>
    </cfRule>
  </conditionalFormatting>
  <dataValidations count="7">
    <dataValidation type="list" allowBlank="1" showInputMessage="1" showErrorMessage="1" sqref="C21:E21" xr:uid="{00000000-0002-0000-0500-000000000000}">
      <formula1>TestScope</formula1>
    </dataValidation>
    <dataValidation type="list" allowBlank="1" showInputMessage="1" showErrorMessage="1" sqref="C18:E18" xr:uid="{00000000-0002-0000-0500-000001000000}">
      <formula1>TypeOfTest</formula1>
    </dataValidation>
    <dataValidation type="list" allowBlank="1" showInputMessage="1" showErrorMessage="1" sqref="F55" xr:uid="{00000000-0002-0000-0500-000002000000}">
      <formula1>TestTypeTSO</formula1>
    </dataValidation>
    <dataValidation type="list" errorStyle="warning" allowBlank="1" showInputMessage="1" showErrorMessage="1" errorTitle="Bitte Wert aus Liste auswählen!" promptTitle="Bitte Wert aus Liste auswählen!" sqref="E54" xr:uid="{00000000-0002-0000-0500-000003000000}">
      <formula1>$E$992:$E$1019</formula1>
    </dataValidation>
    <dataValidation type="list" errorStyle="warning" allowBlank="1" showInputMessage="1" showErrorMessage="1" errorTitle="Bitte Wert aus Liste auswählen!" promptTitle="Bitte Wert aus Liste auswählen!" sqref="F54" xr:uid="{00000000-0002-0000-0500-000004000000}">
      <formula1>$F$991:$F$994</formula1>
    </dataValidation>
    <dataValidation type="list" errorStyle="warning" allowBlank="1" showInputMessage="1" showErrorMessage="1" errorTitle="Bitte aus der Liste auswählen!" promptTitle="Bitte aus der Liste auswählen!" sqref="N54" xr:uid="{00000000-0002-0000-0500-000005000000}">
      <formula1>#REF!</formula1>
    </dataValidation>
    <dataValidation type="list" allowBlank="1" showInputMessage="1" showErrorMessage="1" sqref="C27:E27" xr:uid="{00000000-0002-0000-0500-000006000000}">
      <formula1>result_list</formula1>
    </dataValidation>
  </dataValidations>
  <pageMargins left="0.78740157480314965" right="0.19685039370078741" top="0.98425196850393704" bottom="0.98425196850393704" header="0.51181102362204722" footer="0.51181102362204722"/>
  <pageSetup paperSize="9" scale="90" orientation="portrait" r:id="rId1"/>
  <headerFooter alignWithMargins="0">
    <oddFooter>&amp;C_x000D_&amp;1#&amp;"Arial"&amp;8&amp;K000000 Internal</oddFooter>
  </headerFooter>
  <rowBreaks count="2" manualBreakCount="2">
    <brk id="16" max="16383" man="1"/>
    <brk id="29" max="16383"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54D41-BA9B-4697-93B4-F9F72C40EB40}">
  <sheetPr codeName="Tabelle14">
    <tabColor indexed="44"/>
  </sheetPr>
  <dimension ref="A1:U55"/>
  <sheetViews>
    <sheetView zoomScale="81" zoomScaleNormal="100" workbookViewId="0"/>
  </sheetViews>
  <sheetFormatPr defaultColWidth="12.54296875" defaultRowHeight="14" x14ac:dyDescent="0.3"/>
  <cols>
    <col min="1" max="2" width="17.90625" style="48" customWidth="1"/>
    <col min="3" max="3" width="17.54296875" style="48" customWidth="1"/>
    <col min="4" max="4" width="27" style="49" customWidth="1"/>
    <col min="5" max="5" width="32.81640625" style="48" customWidth="1"/>
    <col min="6" max="6" width="12" style="48" customWidth="1"/>
    <col min="7" max="7" width="14.1796875" style="48" customWidth="1"/>
    <col min="8" max="16384" width="12.54296875" style="48"/>
  </cols>
  <sheetData>
    <row r="1" spans="1:5" ht="19" x14ac:dyDescent="0.4">
      <c r="A1" s="67" t="s">
        <v>56</v>
      </c>
      <c r="B1" s="67"/>
      <c r="C1" s="68"/>
      <c r="D1" s="68"/>
      <c r="E1" s="68"/>
    </row>
    <row r="2" spans="1:5" ht="25.5" customHeight="1" x14ac:dyDescent="0.3">
      <c r="A2" s="217" t="s">
        <v>94</v>
      </c>
      <c r="B2" s="218"/>
      <c r="C2" s="256" t="str">
        <f ca="1">MID(CELL("filename",$C$2),FIND("[",CELL("filename",$C$2))+1,FIND("]",CELL("filename",$C$2))-FIND("[",CELL("filename",$C$2))-1)</f>
        <v>PSM1TS.xlsm</v>
      </c>
      <c r="D2" s="256"/>
      <c r="E2" s="257"/>
    </row>
    <row r="3" spans="1:5" ht="20.149999999999999" customHeight="1" x14ac:dyDescent="0.3">
      <c r="A3" s="217" t="s">
        <v>95</v>
      </c>
      <c r="B3" s="218"/>
      <c r="C3" s="258">
        <v>1.1000000000000001</v>
      </c>
      <c r="D3" s="258"/>
      <c r="E3" s="259"/>
    </row>
    <row r="4" spans="1:5" ht="20.149999999999999" customHeight="1" x14ac:dyDescent="0.3">
      <c r="A4" s="217" t="s">
        <v>96</v>
      </c>
      <c r="B4" s="218"/>
      <c r="C4" s="258" t="s">
        <v>423</v>
      </c>
      <c r="D4" s="258"/>
      <c r="E4" s="259"/>
    </row>
    <row r="5" spans="1:5" ht="138.65" customHeight="1" x14ac:dyDescent="0.3">
      <c r="A5" s="217" t="s">
        <v>97</v>
      </c>
      <c r="B5" s="218"/>
      <c r="C5" s="260" t="s">
        <v>432</v>
      </c>
      <c r="D5" s="261"/>
      <c r="E5" s="262"/>
    </row>
    <row r="6" spans="1:5" ht="39.9" customHeight="1" x14ac:dyDescent="0.3">
      <c r="A6" s="217" t="s">
        <v>57</v>
      </c>
      <c r="B6" s="218"/>
      <c r="C6" s="263" t="s">
        <v>431</v>
      </c>
      <c r="D6" s="264"/>
      <c r="E6" s="265"/>
    </row>
    <row r="7" spans="1:5" ht="48.75" customHeight="1" x14ac:dyDescent="0.3">
      <c r="A7" s="217" t="s">
        <v>211</v>
      </c>
      <c r="B7" s="218"/>
      <c r="C7" s="239" t="s">
        <v>235</v>
      </c>
      <c r="D7" s="239"/>
      <c r="E7" s="240"/>
    </row>
    <row r="8" spans="1:5" ht="39.9" customHeight="1" x14ac:dyDescent="0.3">
      <c r="A8" s="217" t="s">
        <v>58</v>
      </c>
      <c r="B8" s="218"/>
      <c r="C8" s="239" t="s">
        <v>235</v>
      </c>
      <c r="D8" s="239"/>
      <c r="E8" s="240"/>
    </row>
    <row r="9" spans="1:5" ht="20.149999999999999" customHeight="1" x14ac:dyDescent="0.3">
      <c r="A9" s="230" t="s">
        <v>60</v>
      </c>
      <c r="B9" s="231"/>
      <c r="C9" s="247"/>
      <c r="D9" s="247"/>
      <c r="E9" s="248"/>
    </row>
    <row r="10" spans="1:5" ht="20.149999999999999" customHeight="1" x14ac:dyDescent="0.3">
      <c r="A10" s="249" t="s">
        <v>61</v>
      </c>
      <c r="B10" s="250"/>
      <c r="C10" s="251" t="s">
        <v>235</v>
      </c>
      <c r="D10" s="251"/>
      <c r="E10" s="252"/>
    </row>
    <row r="11" spans="1:5" ht="39.9" customHeight="1" x14ac:dyDescent="0.3">
      <c r="A11" s="217" t="s">
        <v>63</v>
      </c>
      <c r="B11" s="218"/>
      <c r="C11" s="239" t="s">
        <v>235</v>
      </c>
      <c r="D11" s="239"/>
      <c r="E11" s="240"/>
    </row>
    <row r="12" spans="1:5" ht="39.9" customHeight="1" x14ac:dyDescent="0.3">
      <c r="A12" s="217" t="s">
        <v>65</v>
      </c>
      <c r="B12" s="218"/>
      <c r="C12" s="239" t="s">
        <v>235</v>
      </c>
      <c r="D12" s="239"/>
      <c r="E12" s="240"/>
    </row>
    <row r="13" spans="1:5" ht="39.9" customHeight="1" x14ac:dyDescent="0.3">
      <c r="A13" s="217" t="s">
        <v>67</v>
      </c>
      <c r="B13" s="218"/>
      <c r="C13" s="239" t="s">
        <v>235</v>
      </c>
      <c r="D13" s="239"/>
      <c r="E13" s="240"/>
    </row>
    <row r="14" spans="1:5" ht="39.9" customHeight="1" x14ac:dyDescent="0.3">
      <c r="A14" s="217" t="s">
        <v>69</v>
      </c>
      <c r="B14" s="218"/>
      <c r="C14" s="239" t="s">
        <v>235</v>
      </c>
      <c r="D14" s="239"/>
      <c r="E14" s="240"/>
    </row>
    <row r="15" spans="1:5" ht="39.9" customHeight="1" thickBot="1" x14ac:dyDescent="0.35">
      <c r="A15" s="201" t="s">
        <v>213</v>
      </c>
      <c r="B15" s="202"/>
      <c r="C15" s="241" t="s">
        <v>235</v>
      </c>
      <c r="D15" s="241"/>
      <c r="E15" s="242"/>
    </row>
    <row r="16" spans="1:5" ht="30" customHeight="1" x14ac:dyDescent="0.3"/>
    <row r="17" spans="1:5" ht="19.5" thickBot="1" x14ac:dyDescent="0.45">
      <c r="A17" s="67" t="s">
        <v>71</v>
      </c>
      <c r="B17" s="67"/>
      <c r="C17" s="68"/>
      <c r="D17" s="68"/>
      <c r="E17" s="68"/>
    </row>
    <row r="18" spans="1:5" ht="39.9" customHeight="1" x14ac:dyDescent="0.3">
      <c r="A18" s="243" t="s">
        <v>183</v>
      </c>
      <c r="B18" s="244"/>
      <c r="C18" s="245" t="s">
        <v>179</v>
      </c>
      <c r="D18" s="245"/>
      <c r="E18" s="246"/>
    </row>
    <row r="19" spans="1:5" ht="20.149999999999999" customHeight="1" x14ac:dyDescent="0.3">
      <c r="A19" s="230" t="s">
        <v>100</v>
      </c>
      <c r="B19" s="231"/>
      <c r="C19" s="232" t="s">
        <v>270</v>
      </c>
      <c r="D19" s="232"/>
      <c r="E19" s="233"/>
    </row>
    <row r="20" spans="1:5" ht="39.9" customHeight="1" x14ac:dyDescent="0.3">
      <c r="A20" s="217" t="s">
        <v>73</v>
      </c>
      <c r="B20" s="218"/>
      <c r="C20" s="266">
        <v>45429</v>
      </c>
      <c r="D20" s="266"/>
      <c r="E20" s="267"/>
    </row>
    <row r="21" spans="1:5" ht="39.9" customHeight="1" x14ac:dyDescent="0.3">
      <c r="A21" s="217" t="s">
        <v>74</v>
      </c>
      <c r="B21" s="218"/>
      <c r="C21" s="236" t="s">
        <v>45</v>
      </c>
      <c r="D21" s="237"/>
      <c r="E21" s="238"/>
    </row>
    <row r="22" spans="1:5" ht="39.9" customHeight="1" x14ac:dyDescent="0.3">
      <c r="A22" s="217" t="s">
        <v>185</v>
      </c>
      <c r="B22" s="218"/>
      <c r="C22" s="226" t="s">
        <v>427</v>
      </c>
      <c r="D22" s="226"/>
      <c r="E22" s="227"/>
    </row>
    <row r="23" spans="1:5" ht="20.149999999999999" customHeight="1" x14ac:dyDescent="0.3">
      <c r="A23" s="217" t="s">
        <v>75</v>
      </c>
      <c r="B23" s="218"/>
      <c r="C23" s="137" t="s">
        <v>428</v>
      </c>
      <c r="D23" s="228" t="s">
        <v>98</v>
      </c>
      <c r="E23" s="229"/>
    </row>
    <row r="24" spans="1:5" ht="39.9" customHeight="1" x14ac:dyDescent="0.3">
      <c r="A24" s="217" t="s">
        <v>122</v>
      </c>
      <c r="B24" s="218"/>
      <c r="C24" s="219">
        <v>81</v>
      </c>
      <c r="D24" s="219"/>
      <c r="E24" s="220"/>
    </row>
    <row r="25" spans="1:5" ht="39.9" customHeight="1" x14ac:dyDescent="0.3">
      <c r="A25" s="217" t="s">
        <v>218</v>
      </c>
      <c r="B25" s="218"/>
      <c r="C25" s="219">
        <v>0</v>
      </c>
      <c r="D25" s="219"/>
      <c r="E25" s="220"/>
    </row>
    <row r="26" spans="1:5" ht="39.9" customHeight="1" x14ac:dyDescent="0.3">
      <c r="A26" s="217" t="s">
        <v>76</v>
      </c>
      <c r="B26" s="218"/>
      <c r="C26" s="219">
        <v>0</v>
      </c>
      <c r="D26" s="219"/>
      <c r="E26" s="220"/>
    </row>
    <row r="27" spans="1:5" ht="39.9" customHeight="1" x14ac:dyDescent="0.3">
      <c r="A27" s="221" t="s">
        <v>77</v>
      </c>
      <c r="B27" s="222"/>
      <c r="C27" s="223" t="s">
        <v>237</v>
      </c>
      <c r="D27" s="224"/>
      <c r="E27" s="225"/>
    </row>
    <row r="28" spans="1:5" ht="39.9" customHeight="1" thickBot="1" x14ac:dyDescent="0.35">
      <c r="A28" s="201" t="s">
        <v>78</v>
      </c>
      <c r="B28" s="202"/>
      <c r="C28" s="63" t="s">
        <v>93</v>
      </c>
      <c r="D28" s="270">
        <v>0.99</v>
      </c>
      <c r="E28" s="204"/>
    </row>
    <row r="29" spans="1:5" ht="69.75" customHeight="1" thickBot="1" x14ac:dyDescent="0.35">
      <c r="A29" s="205" t="s">
        <v>210</v>
      </c>
      <c r="B29" s="206"/>
      <c r="C29" s="207" t="s">
        <v>235</v>
      </c>
      <c r="D29" s="207"/>
      <c r="E29" s="208"/>
    </row>
    <row r="30" spans="1:5" ht="54" customHeight="1" thickBot="1" x14ac:dyDescent="0.45">
      <c r="A30" s="47" t="s">
        <v>79</v>
      </c>
      <c r="B30" s="50"/>
    </row>
    <row r="31" spans="1:5" ht="15.5" x14ac:dyDescent="0.3">
      <c r="A31" s="64" t="s">
        <v>45</v>
      </c>
      <c r="B31" s="65" t="s">
        <v>123</v>
      </c>
      <c r="C31" s="209" t="s">
        <v>80</v>
      </c>
      <c r="D31" s="210"/>
      <c r="E31" s="66" t="s">
        <v>219</v>
      </c>
    </row>
    <row r="32" spans="1:5" ht="15.5" x14ac:dyDescent="0.3">
      <c r="A32" s="51"/>
      <c r="B32" s="52"/>
      <c r="C32" s="211"/>
      <c r="D32" s="212"/>
      <c r="E32" s="53"/>
    </row>
    <row r="33" spans="1:7" ht="15.5" x14ac:dyDescent="0.3">
      <c r="A33" s="51"/>
      <c r="B33" s="52"/>
      <c r="C33" s="197"/>
      <c r="D33" s="213"/>
      <c r="E33" s="53"/>
    </row>
    <row r="34" spans="1:7" ht="16" thickBot="1" x14ac:dyDescent="0.35">
      <c r="A34" s="54"/>
      <c r="B34" s="55"/>
      <c r="C34" s="189"/>
      <c r="D34" s="214"/>
      <c r="E34" s="56"/>
    </row>
    <row r="35" spans="1:7" ht="30" customHeight="1" x14ac:dyDescent="0.3"/>
    <row r="36" spans="1:7" ht="19.5" thickBot="1" x14ac:dyDescent="0.45">
      <c r="A36" s="194" t="s">
        <v>81</v>
      </c>
      <c r="B36" s="194"/>
      <c r="C36" s="194"/>
    </row>
    <row r="37" spans="1:7" ht="31" x14ac:dyDescent="0.3">
      <c r="A37" s="64" t="s">
        <v>4</v>
      </c>
      <c r="B37" s="65" t="s">
        <v>82</v>
      </c>
      <c r="C37" s="215" t="s">
        <v>9</v>
      </c>
      <c r="D37" s="215"/>
      <c r="E37" s="216"/>
    </row>
    <row r="38" spans="1:7" ht="247.75" customHeight="1" x14ac:dyDescent="0.3">
      <c r="A38" s="143" t="s">
        <v>424</v>
      </c>
      <c r="B38" s="144" t="s">
        <v>425</v>
      </c>
      <c r="C38" s="268" t="s">
        <v>429</v>
      </c>
      <c r="D38" s="268"/>
      <c r="E38" s="269"/>
    </row>
    <row r="39" spans="1:7" ht="52.75" customHeight="1" x14ac:dyDescent="0.3">
      <c r="A39" s="143"/>
      <c r="B39" s="144"/>
      <c r="C39" s="268"/>
      <c r="D39" s="268"/>
      <c r="E39" s="269"/>
    </row>
    <row r="40" spans="1:7" ht="16" thickBot="1" x14ac:dyDescent="0.35">
      <c r="A40" s="54"/>
      <c r="B40" s="55"/>
      <c r="C40" s="192"/>
      <c r="D40" s="192"/>
      <c r="E40" s="193"/>
    </row>
    <row r="41" spans="1:7" ht="15.5" x14ac:dyDescent="0.3">
      <c r="A41" s="116"/>
      <c r="B41" s="116"/>
      <c r="C41" s="117"/>
      <c r="D41" s="117"/>
      <c r="E41" s="117"/>
    </row>
    <row r="42" spans="1:7" ht="19" x14ac:dyDescent="0.4">
      <c r="A42" s="194" t="s">
        <v>220</v>
      </c>
      <c r="B42" s="194"/>
      <c r="C42" s="194"/>
      <c r="D42" s="117"/>
      <c r="E42" s="117"/>
    </row>
    <row r="43" spans="1:7" s="49" customFormat="1" ht="30" customHeight="1" x14ac:dyDescent="0.3">
      <c r="A43" s="186" t="s">
        <v>225</v>
      </c>
      <c r="B43" s="186"/>
      <c r="C43" s="186"/>
      <c r="D43" s="186"/>
      <c r="E43" s="186"/>
      <c r="F43" s="186"/>
      <c r="G43" s="186"/>
    </row>
    <row r="44" spans="1:7" ht="15.5" x14ac:dyDescent="0.3">
      <c r="A44" s="118" t="s">
        <v>4</v>
      </c>
      <c r="B44" s="119" t="s">
        <v>222</v>
      </c>
      <c r="C44" s="119" t="s">
        <v>223</v>
      </c>
      <c r="D44" s="195" t="s">
        <v>224</v>
      </c>
      <c r="E44" s="196"/>
    </row>
    <row r="45" spans="1:7" ht="170.5" x14ac:dyDescent="0.3">
      <c r="A45" s="51" t="s">
        <v>226</v>
      </c>
      <c r="B45" s="52"/>
      <c r="C45" s="52"/>
      <c r="D45" s="197"/>
      <c r="E45" s="198"/>
    </row>
    <row r="46" spans="1:7" ht="140" thickBot="1" x14ac:dyDescent="0.35">
      <c r="A46" s="54" t="s">
        <v>221</v>
      </c>
      <c r="B46" s="55"/>
      <c r="C46" s="55"/>
      <c r="D46" s="189"/>
      <c r="E46" s="190"/>
    </row>
    <row r="47" spans="1:7" ht="15.5" x14ac:dyDescent="0.3">
      <c r="A47" s="116"/>
      <c r="B47" s="116"/>
      <c r="C47" s="117"/>
      <c r="D47" s="117"/>
      <c r="E47" s="117"/>
    </row>
    <row r="48" spans="1:7" s="49" customFormat="1" ht="40.5" customHeight="1" thickBot="1" x14ac:dyDescent="0.35">
      <c r="A48" s="186" t="s">
        <v>227</v>
      </c>
      <c r="B48" s="186"/>
      <c r="C48" s="186"/>
      <c r="D48" s="186"/>
      <c r="E48" s="186"/>
      <c r="F48" s="186"/>
      <c r="G48" s="186"/>
    </row>
    <row r="49" spans="1:21" ht="15.5" x14ac:dyDescent="0.3">
      <c r="A49" s="64" t="s">
        <v>4</v>
      </c>
      <c r="B49" s="65" t="s">
        <v>222</v>
      </c>
      <c r="C49" s="65" t="s">
        <v>223</v>
      </c>
      <c r="D49" s="187" t="s">
        <v>224</v>
      </c>
      <c r="E49" s="188"/>
    </row>
    <row r="50" spans="1:21" ht="140" thickBot="1" x14ac:dyDescent="0.35">
      <c r="A50" s="54" t="s">
        <v>228</v>
      </c>
      <c r="B50" s="55"/>
      <c r="C50" s="55"/>
      <c r="D50" s="189"/>
      <c r="E50" s="190"/>
    </row>
    <row r="51" spans="1:21" ht="15.5" x14ac:dyDescent="0.3">
      <c r="A51" s="116"/>
      <c r="B51" s="116"/>
      <c r="C51" s="117"/>
      <c r="D51" s="117"/>
      <c r="E51" s="117"/>
    </row>
    <row r="53" spans="1:21" ht="19" x14ac:dyDescent="0.4">
      <c r="A53" s="194" t="s">
        <v>101</v>
      </c>
      <c r="B53" s="194"/>
      <c r="C53" s="194"/>
    </row>
    <row r="54" spans="1:21" s="123" customFormat="1" ht="131.25" customHeight="1" x14ac:dyDescent="0.25">
      <c r="A54" s="114" t="s">
        <v>102</v>
      </c>
      <c r="B54" s="114" t="s">
        <v>103</v>
      </c>
      <c r="C54" s="114" t="s">
        <v>104</v>
      </c>
      <c r="D54" s="114" t="s">
        <v>105</v>
      </c>
      <c r="E54" s="114" t="s">
        <v>106</v>
      </c>
      <c r="F54" s="114" t="s">
        <v>107</v>
      </c>
      <c r="G54" s="114" t="s">
        <v>108</v>
      </c>
      <c r="H54" s="114" t="s">
        <v>109</v>
      </c>
      <c r="I54" s="120" t="s">
        <v>110</v>
      </c>
      <c r="J54" s="121" t="s">
        <v>111</v>
      </c>
      <c r="K54" s="114" t="s">
        <v>112</v>
      </c>
      <c r="L54" s="114" t="s">
        <v>113</v>
      </c>
      <c r="M54" s="120" t="s">
        <v>114</v>
      </c>
      <c r="N54" s="121" t="s">
        <v>115</v>
      </c>
      <c r="O54" s="114" t="s">
        <v>91</v>
      </c>
      <c r="P54" s="122" t="s">
        <v>116</v>
      </c>
      <c r="Q54" s="114" t="s">
        <v>117</v>
      </c>
      <c r="R54" s="114" t="s">
        <v>218</v>
      </c>
      <c r="S54" s="114" t="s">
        <v>76</v>
      </c>
      <c r="T54" s="114" t="s">
        <v>118</v>
      </c>
      <c r="U54" s="114" t="s">
        <v>119</v>
      </c>
    </row>
    <row r="55" spans="1:21" x14ac:dyDescent="0.3">
      <c r="D55" s="70" t="s">
        <v>120</v>
      </c>
      <c r="E55" s="70" t="s">
        <v>121</v>
      </c>
      <c r="F55" s="48" t="str">
        <f>C18</f>
        <v>FULL</v>
      </c>
      <c r="H55" s="71" t="str">
        <f>C5</f>
        <v>Gtest Branch: https://github-vni.geo.conti.de/cds/sw.pkg.em_psm/commit/afaf742c6c6bce2b02819d0a37a11cbf850f2210</v>
      </c>
      <c r="I55" s="71" t="str">
        <f>Tester</f>
        <v>Akshat Kumar</v>
      </c>
      <c r="J55" s="94"/>
      <c r="K55" s="94"/>
      <c r="L55" s="94"/>
      <c r="M55" s="94">
        <f>TestDate</f>
        <v>45429</v>
      </c>
      <c r="N55" s="70" t="s">
        <v>189</v>
      </c>
      <c r="O55" s="71" t="str">
        <f>TestResult</f>
        <v>Passed</v>
      </c>
      <c r="P55" s="71" t="str">
        <f>C23</f>
        <v>2.2s</v>
      </c>
      <c r="Q55" s="71">
        <f>$C$24</f>
        <v>81</v>
      </c>
      <c r="R55" s="71">
        <f>$C$25</f>
        <v>0</v>
      </c>
      <c r="S55" s="71">
        <f>$C$26</f>
        <v>0</v>
      </c>
      <c r="T55" s="71">
        <f>$D$28</f>
        <v>0.99</v>
      </c>
    </row>
  </sheetData>
  <mergeCells count="70">
    <mergeCell ref="A48:G48"/>
    <mergeCell ref="D49:E49"/>
    <mergeCell ref="D50:E50"/>
    <mergeCell ref="A53:C53"/>
    <mergeCell ref="C40:E40"/>
    <mergeCell ref="A42:C42"/>
    <mergeCell ref="A43:G43"/>
    <mergeCell ref="D44:E44"/>
    <mergeCell ref="D45:E45"/>
    <mergeCell ref="D46:E46"/>
    <mergeCell ref="C39:E39"/>
    <mergeCell ref="A28:B28"/>
    <mergeCell ref="D28:E28"/>
    <mergeCell ref="A29:B29"/>
    <mergeCell ref="C29:E29"/>
    <mergeCell ref="C31:D31"/>
    <mergeCell ref="C32:D32"/>
    <mergeCell ref="C33:D33"/>
    <mergeCell ref="C34:D34"/>
    <mergeCell ref="A36:C36"/>
    <mergeCell ref="C37:E37"/>
    <mergeCell ref="C38:E38"/>
    <mergeCell ref="A25:B25"/>
    <mergeCell ref="C25:E25"/>
    <mergeCell ref="A26:B26"/>
    <mergeCell ref="C26:E26"/>
    <mergeCell ref="A27:B27"/>
    <mergeCell ref="C27:E27"/>
    <mergeCell ref="A22:B22"/>
    <mergeCell ref="C22:E22"/>
    <mergeCell ref="A23:B23"/>
    <mergeCell ref="D23:E23"/>
    <mergeCell ref="A24:B24"/>
    <mergeCell ref="C24:E24"/>
    <mergeCell ref="A19:B19"/>
    <mergeCell ref="C19:E19"/>
    <mergeCell ref="A20:B20"/>
    <mergeCell ref="C20:E20"/>
    <mergeCell ref="A21:B21"/>
    <mergeCell ref="C21:E21"/>
    <mergeCell ref="A14:B14"/>
    <mergeCell ref="C14:E14"/>
    <mergeCell ref="A15:B15"/>
    <mergeCell ref="C15:E15"/>
    <mergeCell ref="A18:B18"/>
    <mergeCell ref="C18:E18"/>
    <mergeCell ref="A11:B11"/>
    <mergeCell ref="C11:E11"/>
    <mergeCell ref="A12:B12"/>
    <mergeCell ref="C12:E12"/>
    <mergeCell ref="A13:B13"/>
    <mergeCell ref="C13:E13"/>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honeticPr fontId="3" type="noConversion"/>
  <conditionalFormatting sqref="N54:O54">
    <cfRule type="cellIs" dxfId="23" priority="1" stopIfTrue="1" operator="equal">
      <formula>"passed"</formula>
    </cfRule>
    <cfRule type="cellIs" dxfId="22" priority="2" stopIfTrue="1" operator="equal">
      <formula>"cond. acc."</formula>
    </cfRule>
    <cfRule type="cellIs" dxfId="21" priority="3" stopIfTrue="1" operator="equal">
      <formula>"failed"</formula>
    </cfRule>
  </conditionalFormatting>
  <dataValidations count="7">
    <dataValidation type="list" allowBlank="1" showInputMessage="1" showErrorMessage="1" sqref="C21:E21" xr:uid="{1F4803A9-A25A-4983-9D5F-5C0B5F59B945}">
      <formula1>TestScope</formula1>
    </dataValidation>
    <dataValidation type="list" allowBlank="1" showInputMessage="1" showErrorMessage="1" sqref="C18:E18" xr:uid="{EADD316E-2931-497E-A4C8-7624CB42103D}">
      <formula1>TypeOfTest</formula1>
    </dataValidation>
    <dataValidation type="list" allowBlank="1" showInputMessage="1" showErrorMessage="1" sqref="F55" xr:uid="{A23BF360-FF81-4F34-9668-1C816FDEA119}">
      <formula1>TestTypeTSO</formula1>
    </dataValidation>
    <dataValidation type="list" errorStyle="warning" allowBlank="1" showInputMessage="1" showErrorMessage="1" errorTitle="Bitte Wert aus Liste auswählen!" promptTitle="Bitte Wert aus Liste auswählen!" sqref="E54" xr:uid="{06D14AA5-A999-48E9-A20E-68F3CF7ABBD8}">
      <formula1>$E$992:$E$1019</formula1>
    </dataValidation>
    <dataValidation type="list" errorStyle="warning" allowBlank="1" showInputMessage="1" showErrorMessage="1" errorTitle="Bitte Wert aus Liste auswählen!" promptTitle="Bitte Wert aus Liste auswählen!" sqref="F54" xr:uid="{3438A9C5-22B8-4DBA-AB50-0B2973B5EEC1}">
      <formula1>$F$991:$F$994</formula1>
    </dataValidation>
    <dataValidation type="list" errorStyle="warning" allowBlank="1" showInputMessage="1" showErrorMessage="1" errorTitle="Bitte aus der Liste auswählen!" promptTitle="Bitte aus der Liste auswählen!" sqref="N54" xr:uid="{C2E7FA9E-084A-421F-8244-4452F73BB74B}">
      <formula1>#REF!</formula1>
    </dataValidation>
    <dataValidation type="list" allowBlank="1" showInputMessage="1" showErrorMessage="1" sqref="C27:E27" xr:uid="{CAE2DD71-8883-4D40-80B3-DF5A68A0332A}">
      <formula1>result_list</formula1>
    </dataValidation>
  </dataValidations>
  <hyperlinks>
    <hyperlink ref="C6" r:id="rId1" display="https://github-vni.geo.conti.de/cds/sw.pkg.em_psm/commit/2967aafa269d827d0338eaa85df0121940b3f1ca" xr:uid="{43F8926E-8837-4CF0-9FA2-6989426E8D2E}"/>
  </hyperlinks>
  <pageMargins left="0.78740157480314965" right="0.19685039370078741" top="0.98425196850393704" bottom="0.98425196850393704" header="0.51181102362204722" footer="0.51181102362204722"/>
  <pageSetup paperSize="9" scale="90" orientation="portrait" r:id="rId2"/>
  <headerFooter alignWithMargins="0">
    <oddFooter>&amp;C_x000D_&amp;1#&amp;"Arial"&amp;8&amp;K000000 Internal</oddFooter>
  </headerFooter>
  <rowBreaks count="2" manualBreakCount="2">
    <brk id="16" max="16383" man="1"/>
    <brk id="29" max="16383" man="1"/>
  </rowBreaks>
  <drawing r:id="rId3"/>
  <legacyDrawing r:id="rId4"/>
  <oleObjects>
    <mc:AlternateContent xmlns:mc="http://schemas.openxmlformats.org/markup-compatibility/2006">
      <mc:Choice Requires="x14">
        <oleObject progId="Packager Shell Object" dvAspect="DVASPECT_ICON" shapeId="58394" r:id="rId5">
          <objectPr defaultSize="0" autoPict="0" r:id="rId6">
            <anchor moveWithCells="1">
              <from>
                <xdr:col>6</xdr:col>
                <xdr:colOff>76200</xdr:colOff>
                <xdr:row>4</xdr:row>
                <xdr:rowOff>88900</xdr:rowOff>
              </from>
              <to>
                <xdr:col>6</xdr:col>
                <xdr:colOff>914400</xdr:colOff>
                <xdr:row>4</xdr:row>
                <xdr:rowOff>723900</xdr:rowOff>
              </to>
            </anchor>
          </objectPr>
        </oleObject>
      </mc:Choice>
      <mc:Fallback>
        <oleObject progId="Packager Shell Object" dvAspect="DVASPECT_ICON" shapeId="58394" r:id="rId5"/>
      </mc:Fallback>
    </mc:AlternateContent>
    <mc:AlternateContent xmlns:mc="http://schemas.openxmlformats.org/markup-compatibility/2006">
      <mc:Choice Requires="x14">
        <oleObject progId="Packager Shell Object" dvAspect="DVASPECT_ICON" shapeId="58395" r:id="rId7">
          <objectPr defaultSize="0" r:id="rId8">
            <anchor moveWithCells="1">
              <from>
                <xdr:col>5</xdr:col>
                <xdr:colOff>584200</xdr:colOff>
                <xdr:row>4</xdr:row>
                <xdr:rowOff>1035050</xdr:rowOff>
              </from>
              <to>
                <xdr:col>7</xdr:col>
                <xdr:colOff>254000</xdr:colOff>
                <xdr:row>4</xdr:row>
                <xdr:rowOff>1555750</xdr:rowOff>
              </to>
            </anchor>
          </objectPr>
        </oleObject>
      </mc:Choice>
      <mc:Fallback>
        <oleObject progId="Packager Shell Object" dvAspect="DVASPECT_ICON" shapeId="58395" r:id="rId7"/>
      </mc:Fallback>
    </mc:AlternateContent>
  </oleObjects>
  <controls>
    <mc:AlternateContent xmlns:mc="http://schemas.openxmlformats.org/markup-compatibility/2006">
      <mc:Choice Requires="x14">
        <control shapeId="58369" r:id="rId9" name="CommandButton1">
          <controlPr defaultSize="0" autoLine="0" autoPict="0" r:id="rId10">
            <anchor moveWithCells="1">
              <from>
                <xdr:col>5</xdr:col>
                <xdr:colOff>406400</xdr:colOff>
                <xdr:row>1</xdr:row>
                <xdr:rowOff>76200</xdr:rowOff>
              </from>
              <to>
                <xdr:col>8</xdr:col>
                <xdr:colOff>603250</xdr:colOff>
                <xdr:row>3</xdr:row>
                <xdr:rowOff>158750</xdr:rowOff>
              </to>
            </anchor>
          </controlPr>
        </control>
      </mc:Choice>
      <mc:Fallback>
        <control shapeId="58369" r:id="rId9"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5515D-5C8F-42F2-8CB3-6FC9F98F7A0E}">
  <sheetPr codeName="Tabelle13">
    <tabColor indexed="44"/>
  </sheetPr>
  <dimension ref="A1:U55"/>
  <sheetViews>
    <sheetView topLeftCell="A31" zoomScaleNormal="100" workbookViewId="0">
      <selection activeCell="A43" sqref="A43:G43"/>
    </sheetView>
  </sheetViews>
  <sheetFormatPr defaultColWidth="12.54296875" defaultRowHeight="14" x14ac:dyDescent="0.3"/>
  <cols>
    <col min="1" max="2" width="17.90625" style="48" customWidth="1"/>
    <col min="3" max="3" width="17.54296875" style="48" customWidth="1"/>
    <col min="4" max="4" width="27" style="49" customWidth="1"/>
    <col min="5" max="5" width="17.54296875" style="48" customWidth="1"/>
    <col min="6" max="16384" width="12.54296875" style="48"/>
  </cols>
  <sheetData>
    <row r="1" spans="1:5" ht="19" x14ac:dyDescent="0.4">
      <c r="A1" s="67" t="s">
        <v>56</v>
      </c>
      <c r="B1" s="67"/>
      <c r="C1" s="68"/>
      <c r="D1" s="68"/>
      <c r="E1" s="68"/>
    </row>
    <row r="2" spans="1:5" ht="25.5" customHeight="1" x14ac:dyDescent="0.3">
      <c r="A2" s="217" t="s">
        <v>94</v>
      </c>
      <c r="B2" s="218"/>
      <c r="C2" s="256"/>
      <c r="D2" s="256"/>
      <c r="E2" s="257"/>
    </row>
    <row r="3" spans="1:5" ht="20.149999999999999" customHeight="1" x14ac:dyDescent="0.3">
      <c r="A3" s="217" t="s">
        <v>95</v>
      </c>
      <c r="B3" s="218"/>
      <c r="C3" s="258"/>
      <c r="D3" s="258"/>
      <c r="E3" s="259"/>
    </row>
    <row r="4" spans="1:5" ht="20.149999999999999" customHeight="1" x14ac:dyDescent="0.3">
      <c r="A4" s="217" t="s">
        <v>96</v>
      </c>
      <c r="B4" s="218"/>
      <c r="C4" s="258"/>
      <c r="D4" s="258"/>
      <c r="E4" s="259"/>
    </row>
    <row r="5" spans="1:5" ht="33.75" customHeight="1" x14ac:dyDescent="0.3">
      <c r="A5" s="217" t="s">
        <v>97</v>
      </c>
      <c r="B5" s="218"/>
      <c r="C5" s="251"/>
      <c r="D5" s="251"/>
      <c r="E5" s="252"/>
    </row>
    <row r="6" spans="1:5" ht="39.9" customHeight="1" x14ac:dyDescent="0.3">
      <c r="A6" s="217" t="s">
        <v>57</v>
      </c>
      <c r="B6" s="218"/>
      <c r="C6" s="239"/>
      <c r="D6" s="239"/>
      <c r="E6" s="240"/>
    </row>
    <row r="7" spans="1:5" ht="48.75" customHeight="1" x14ac:dyDescent="0.3">
      <c r="A7" s="217" t="s">
        <v>211</v>
      </c>
      <c r="B7" s="218"/>
      <c r="C7" s="253"/>
      <c r="D7" s="253"/>
      <c r="E7" s="254"/>
    </row>
    <row r="8" spans="1:5" ht="39.9" customHeight="1" x14ac:dyDescent="0.3">
      <c r="A8" s="217" t="s">
        <v>58</v>
      </c>
      <c r="B8" s="218"/>
      <c r="C8" s="239" t="s">
        <v>59</v>
      </c>
      <c r="D8" s="239"/>
      <c r="E8" s="240"/>
    </row>
    <row r="9" spans="1:5" ht="20.149999999999999" customHeight="1" x14ac:dyDescent="0.3">
      <c r="A9" s="230" t="s">
        <v>60</v>
      </c>
      <c r="B9" s="231"/>
      <c r="C9" s="247"/>
      <c r="D9" s="247"/>
      <c r="E9" s="248"/>
    </row>
    <row r="10" spans="1:5" ht="20.149999999999999" customHeight="1" x14ac:dyDescent="0.3">
      <c r="A10" s="249" t="s">
        <v>61</v>
      </c>
      <c r="B10" s="250"/>
      <c r="C10" s="251" t="s">
        <v>62</v>
      </c>
      <c r="D10" s="251"/>
      <c r="E10" s="252"/>
    </row>
    <row r="11" spans="1:5" ht="39.9" customHeight="1" x14ac:dyDescent="0.3">
      <c r="A11" s="217" t="s">
        <v>63</v>
      </c>
      <c r="B11" s="218"/>
      <c r="C11" s="239" t="s">
        <v>64</v>
      </c>
      <c r="D11" s="239"/>
      <c r="E11" s="240"/>
    </row>
    <row r="12" spans="1:5" ht="39.9" customHeight="1" x14ac:dyDescent="0.3">
      <c r="A12" s="217" t="s">
        <v>65</v>
      </c>
      <c r="B12" s="218"/>
      <c r="C12" s="239" t="s">
        <v>66</v>
      </c>
      <c r="D12" s="239"/>
      <c r="E12" s="240"/>
    </row>
    <row r="13" spans="1:5" ht="39.9" customHeight="1" x14ac:dyDescent="0.3">
      <c r="A13" s="217" t="s">
        <v>67</v>
      </c>
      <c r="B13" s="218"/>
      <c r="C13" s="239" t="s">
        <v>68</v>
      </c>
      <c r="D13" s="239"/>
      <c r="E13" s="240"/>
    </row>
    <row r="14" spans="1:5" ht="39.9" customHeight="1" x14ac:dyDescent="0.3">
      <c r="A14" s="217" t="s">
        <v>69</v>
      </c>
      <c r="B14" s="218"/>
      <c r="C14" s="239" t="s">
        <v>70</v>
      </c>
      <c r="D14" s="239"/>
      <c r="E14" s="240"/>
    </row>
    <row r="15" spans="1:5" ht="39.9" customHeight="1" thickBot="1" x14ac:dyDescent="0.35">
      <c r="A15" s="201" t="s">
        <v>213</v>
      </c>
      <c r="B15" s="202"/>
      <c r="C15" s="241" t="s">
        <v>188</v>
      </c>
      <c r="D15" s="241"/>
      <c r="E15" s="242"/>
    </row>
    <row r="16" spans="1:5" ht="30" customHeight="1" x14ac:dyDescent="0.3"/>
    <row r="17" spans="1:5" ht="19.5" thickBot="1" x14ac:dyDescent="0.45">
      <c r="A17" s="67" t="s">
        <v>71</v>
      </c>
      <c r="B17" s="67"/>
      <c r="C17" s="68"/>
      <c r="D17" s="68"/>
      <c r="E17" s="68"/>
    </row>
    <row r="18" spans="1:5" ht="39.9" customHeight="1" x14ac:dyDescent="0.3">
      <c r="A18" s="243" t="s">
        <v>183</v>
      </c>
      <c r="B18" s="244"/>
      <c r="C18" s="245" t="s">
        <v>179</v>
      </c>
      <c r="D18" s="245"/>
      <c r="E18" s="246"/>
    </row>
    <row r="19" spans="1:5" ht="20.149999999999999" customHeight="1" x14ac:dyDescent="0.3">
      <c r="A19" s="230" t="s">
        <v>100</v>
      </c>
      <c r="B19" s="231"/>
      <c r="C19" s="232" t="s">
        <v>72</v>
      </c>
      <c r="D19" s="232"/>
      <c r="E19" s="233"/>
    </row>
    <row r="20" spans="1:5" ht="39.9" customHeight="1" x14ac:dyDescent="0.3">
      <c r="A20" s="217" t="s">
        <v>73</v>
      </c>
      <c r="B20" s="218"/>
      <c r="C20" s="234" t="s">
        <v>72</v>
      </c>
      <c r="D20" s="234"/>
      <c r="E20" s="235"/>
    </row>
    <row r="21" spans="1:5" ht="39.9" customHeight="1" x14ac:dyDescent="0.3">
      <c r="A21" s="217" t="s">
        <v>74</v>
      </c>
      <c r="B21" s="218"/>
      <c r="C21" s="236" t="s">
        <v>186</v>
      </c>
      <c r="D21" s="237"/>
      <c r="E21" s="238"/>
    </row>
    <row r="22" spans="1:5" ht="39.9" customHeight="1" x14ac:dyDescent="0.3">
      <c r="A22" s="217" t="s">
        <v>185</v>
      </c>
      <c r="B22" s="218"/>
      <c r="C22" s="226" t="s">
        <v>72</v>
      </c>
      <c r="D22" s="226"/>
      <c r="E22" s="227"/>
    </row>
    <row r="23" spans="1:5" ht="20.149999999999999" customHeight="1" x14ac:dyDescent="0.3">
      <c r="A23" s="217" t="s">
        <v>75</v>
      </c>
      <c r="B23" s="218"/>
      <c r="C23" s="134"/>
      <c r="D23" s="228" t="s">
        <v>98</v>
      </c>
      <c r="E23" s="229"/>
    </row>
    <row r="24" spans="1:5" ht="39.9" customHeight="1" x14ac:dyDescent="0.3">
      <c r="A24" s="217" t="s">
        <v>122</v>
      </c>
      <c r="B24" s="218"/>
      <c r="C24" s="219"/>
      <c r="D24" s="219"/>
      <c r="E24" s="220"/>
    </row>
    <row r="25" spans="1:5" ht="39.9" customHeight="1" x14ac:dyDescent="0.3">
      <c r="A25" s="217" t="s">
        <v>218</v>
      </c>
      <c r="B25" s="218"/>
      <c r="C25" s="219"/>
      <c r="D25" s="219"/>
      <c r="E25" s="220"/>
    </row>
    <row r="26" spans="1:5" ht="39.9" customHeight="1" x14ac:dyDescent="0.3">
      <c r="A26" s="217" t="s">
        <v>76</v>
      </c>
      <c r="B26" s="218"/>
      <c r="C26" s="219"/>
      <c r="D26" s="219"/>
      <c r="E26" s="220"/>
    </row>
    <row r="27" spans="1:5" ht="39.9" customHeight="1" x14ac:dyDescent="0.3">
      <c r="A27" s="221" t="s">
        <v>77</v>
      </c>
      <c r="B27" s="222"/>
      <c r="C27" s="223"/>
      <c r="D27" s="224"/>
      <c r="E27" s="225"/>
    </row>
    <row r="28" spans="1:5" ht="39.9" customHeight="1" thickBot="1" x14ac:dyDescent="0.35">
      <c r="A28" s="201" t="s">
        <v>78</v>
      </c>
      <c r="B28" s="202"/>
      <c r="C28" s="63" t="s">
        <v>93</v>
      </c>
      <c r="D28" s="203"/>
      <c r="E28" s="204"/>
    </row>
    <row r="29" spans="1:5" ht="69.75" customHeight="1" thickBot="1" x14ac:dyDescent="0.35">
      <c r="A29" s="205" t="s">
        <v>210</v>
      </c>
      <c r="B29" s="206"/>
      <c r="C29" s="207" t="s">
        <v>72</v>
      </c>
      <c r="D29" s="207"/>
      <c r="E29" s="208"/>
    </row>
    <row r="30" spans="1:5" ht="54" customHeight="1" thickBot="1" x14ac:dyDescent="0.45">
      <c r="A30" s="47" t="s">
        <v>79</v>
      </c>
      <c r="B30" s="50"/>
    </row>
    <row r="31" spans="1:5" ht="15.5" x14ac:dyDescent="0.3">
      <c r="A31" s="64" t="s">
        <v>45</v>
      </c>
      <c r="B31" s="65" t="s">
        <v>123</v>
      </c>
      <c r="C31" s="209" t="s">
        <v>80</v>
      </c>
      <c r="D31" s="210"/>
      <c r="E31" s="66" t="s">
        <v>219</v>
      </c>
    </row>
    <row r="32" spans="1:5" ht="15.5" x14ac:dyDescent="0.3">
      <c r="A32" s="51"/>
      <c r="B32" s="52"/>
      <c r="C32" s="211"/>
      <c r="D32" s="212"/>
      <c r="E32" s="53"/>
    </row>
    <row r="33" spans="1:7" ht="15.5" x14ac:dyDescent="0.3">
      <c r="A33" s="51"/>
      <c r="B33" s="52"/>
      <c r="C33" s="197"/>
      <c r="D33" s="213"/>
      <c r="E33" s="53"/>
    </row>
    <row r="34" spans="1:7" ht="16" thickBot="1" x14ac:dyDescent="0.35">
      <c r="A34" s="54"/>
      <c r="B34" s="55"/>
      <c r="C34" s="189"/>
      <c r="D34" s="214"/>
      <c r="E34" s="56"/>
    </row>
    <row r="35" spans="1:7" ht="30" customHeight="1" x14ac:dyDescent="0.3"/>
    <row r="36" spans="1:7" ht="19.5" thickBot="1" x14ac:dyDescent="0.45">
      <c r="A36" s="194" t="s">
        <v>81</v>
      </c>
      <c r="B36" s="194"/>
      <c r="C36" s="194"/>
    </row>
    <row r="37" spans="1:7" ht="31" x14ac:dyDescent="0.3">
      <c r="A37" s="64" t="s">
        <v>4</v>
      </c>
      <c r="B37" s="65" t="s">
        <v>82</v>
      </c>
      <c r="C37" s="215" t="s">
        <v>9</v>
      </c>
      <c r="D37" s="215"/>
      <c r="E37" s="216"/>
    </row>
    <row r="38" spans="1:7" ht="15.5" x14ac:dyDescent="0.3">
      <c r="A38" s="51"/>
      <c r="B38" s="52"/>
      <c r="C38" s="199"/>
      <c r="D38" s="199"/>
      <c r="E38" s="200"/>
    </row>
    <row r="39" spans="1:7" ht="15.5" x14ac:dyDescent="0.3">
      <c r="A39" s="51"/>
      <c r="B39" s="52"/>
      <c r="C39" s="199"/>
      <c r="D39" s="199"/>
      <c r="E39" s="200"/>
    </row>
    <row r="40" spans="1:7" ht="16" thickBot="1" x14ac:dyDescent="0.35">
      <c r="A40" s="54"/>
      <c r="B40" s="55"/>
      <c r="C40" s="192"/>
      <c r="D40" s="192"/>
      <c r="E40" s="193"/>
    </row>
    <row r="41" spans="1:7" ht="15.5" x14ac:dyDescent="0.3">
      <c r="A41" s="116"/>
      <c r="B41" s="116"/>
      <c r="C41" s="117"/>
      <c r="D41" s="117"/>
      <c r="E41" s="117"/>
    </row>
    <row r="42" spans="1:7" ht="19" x14ac:dyDescent="0.4">
      <c r="A42" s="194" t="s">
        <v>220</v>
      </c>
      <c r="B42" s="194"/>
      <c r="C42" s="194"/>
      <c r="D42" s="117"/>
      <c r="E42" s="117"/>
    </row>
    <row r="43" spans="1:7" s="49" customFormat="1" ht="30" customHeight="1" x14ac:dyDescent="0.3">
      <c r="A43" s="186" t="s">
        <v>225</v>
      </c>
      <c r="B43" s="186"/>
      <c r="C43" s="186"/>
      <c r="D43" s="186"/>
      <c r="E43" s="186"/>
      <c r="F43" s="186"/>
      <c r="G43" s="186"/>
    </row>
    <row r="44" spans="1:7" ht="15.5" x14ac:dyDescent="0.3">
      <c r="A44" s="118" t="s">
        <v>4</v>
      </c>
      <c r="B44" s="119" t="s">
        <v>222</v>
      </c>
      <c r="C44" s="119" t="s">
        <v>223</v>
      </c>
      <c r="D44" s="195" t="s">
        <v>224</v>
      </c>
      <c r="E44" s="196"/>
    </row>
    <row r="45" spans="1:7" ht="170.5" x14ac:dyDescent="0.3">
      <c r="A45" s="51" t="s">
        <v>226</v>
      </c>
      <c r="B45" s="52"/>
      <c r="C45" s="52"/>
      <c r="D45" s="197"/>
      <c r="E45" s="198"/>
    </row>
    <row r="46" spans="1:7" ht="140" thickBot="1" x14ac:dyDescent="0.35">
      <c r="A46" s="54" t="s">
        <v>221</v>
      </c>
      <c r="B46" s="55"/>
      <c r="C46" s="55"/>
      <c r="D46" s="189"/>
      <c r="E46" s="190"/>
    </row>
    <row r="47" spans="1:7" ht="15.5" x14ac:dyDescent="0.3">
      <c r="A47" s="116"/>
      <c r="B47" s="116"/>
      <c r="C47" s="117"/>
      <c r="D47" s="117"/>
      <c r="E47" s="117"/>
    </row>
    <row r="48" spans="1:7" s="49" customFormat="1" ht="40.5" customHeight="1" thickBot="1" x14ac:dyDescent="0.35">
      <c r="A48" s="186" t="s">
        <v>227</v>
      </c>
      <c r="B48" s="186"/>
      <c r="C48" s="186"/>
      <c r="D48" s="186"/>
      <c r="E48" s="186"/>
      <c r="F48" s="186"/>
      <c r="G48" s="186"/>
    </row>
    <row r="49" spans="1:21" ht="15.5" x14ac:dyDescent="0.3">
      <c r="A49" s="64" t="s">
        <v>4</v>
      </c>
      <c r="B49" s="65" t="s">
        <v>222</v>
      </c>
      <c r="C49" s="65" t="s">
        <v>223</v>
      </c>
      <c r="D49" s="187" t="s">
        <v>224</v>
      </c>
      <c r="E49" s="188"/>
    </row>
    <row r="50" spans="1:21" ht="140" thickBot="1" x14ac:dyDescent="0.35">
      <c r="A50" s="54" t="s">
        <v>228</v>
      </c>
      <c r="B50" s="55"/>
      <c r="C50" s="55"/>
      <c r="D50" s="189"/>
      <c r="E50" s="190"/>
    </row>
    <row r="51" spans="1:21" ht="15.5" x14ac:dyDescent="0.3">
      <c r="A51" s="116"/>
      <c r="B51" s="116"/>
      <c r="C51" s="117"/>
      <c r="D51" s="117"/>
      <c r="E51" s="117"/>
    </row>
    <row r="53" spans="1:21" ht="19" x14ac:dyDescent="0.4">
      <c r="A53" s="194" t="s">
        <v>101</v>
      </c>
      <c r="B53" s="194"/>
      <c r="C53" s="194"/>
    </row>
    <row r="54" spans="1:21" s="123" customFormat="1" ht="131.25" customHeight="1" x14ac:dyDescent="0.25">
      <c r="A54" s="114" t="s">
        <v>102</v>
      </c>
      <c r="B54" s="114" t="s">
        <v>103</v>
      </c>
      <c r="C54" s="114" t="s">
        <v>104</v>
      </c>
      <c r="D54" s="114" t="s">
        <v>105</v>
      </c>
      <c r="E54" s="114" t="s">
        <v>106</v>
      </c>
      <c r="F54" s="114" t="s">
        <v>107</v>
      </c>
      <c r="G54" s="114" t="s">
        <v>108</v>
      </c>
      <c r="H54" s="114" t="s">
        <v>109</v>
      </c>
      <c r="I54" s="120" t="s">
        <v>110</v>
      </c>
      <c r="J54" s="121" t="s">
        <v>111</v>
      </c>
      <c r="K54" s="114" t="s">
        <v>112</v>
      </c>
      <c r="L54" s="114" t="s">
        <v>113</v>
      </c>
      <c r="M54" s="120" t="s">
        <v>114</v>
      </c>
      <c r="N54" s="121" t="s">
        <v>115</v>
      </c>
      <c r="O54" s="114" t="s">
        <v>91</v>
      </c>
      <c r="P54" s="122" t="s">
        <v>116</v>
      </c>
      <c r="Q54" s="114" t="s">
        <v>117</v>
      </c>
      <c r="R54" s="114" t="s">
        <v>218</v>
      </c>
      <c r="S54" s="114" t="s">
        <v>76</v>
      </c>
      <c r="T54" s="114" t="s">
        <v>118</v>
      </c>
      <c r="U54" s="114" t="s">
        <v>119</v>
      </c>
    </row>
    <row r="55" spans="1:21" x14ac:dyDescent="0.3">
      <c r="D55" s="70" t="s">
        <v>120</v>
      </c>
      <c r="E55" s="70" t="s">
        <v>121</v>
      </c>
      <c r="F55" s="48" t="str">
        <f>C18</f>
        <v>FULL</v>
      </c>
      <c r="H55" s="71">
        <f>C5</f>
        <v>0</v>
      </c>
      <c r="I55" s="71" t="str">
        <f>Tester</f>
        <v>     </v>
      </c>
      <c r="J55" s="94"/>
      <c r="K55" s="94"/>
      <c r="L55" s="94"/>
      <c r="M55" s="94" t="str">
        <f>TestDate</f>
        <v>     </v>
      </c>
      <c r="N55" s="70" t="s">
        <v>189</v>
      </c>
      <c r="O55" s="71">
        <f>TestResult</f>
        <v>0</v>
      </c>
      <c r="P55" s="71">
        <f>C23</f>
        <v>0</v>
      </c>
      <c r="Q55" s="71">
        <f>$C$24</f>
        <v>0</v>
      </c>
      <c r="R55" s="71">
        <f>$C$25</f>
        <v>0</v>
      </c>
      <c r="S55" s="71">
        <f>$C$26</f>
        <v>0</v>
      </c>
      <c r="T55" s="71">
        <f>$D$28</f>
        <v>0</v>
      </c>
    </row>
  </sheetData>
  <mergeCells count="70">
    <mergeCell ref="A48:G48"/>
    <mergeCell ref="D49:E49"/>
    <mergeCell ref="D50:E50"/>
    <mergeCell ref="A53:C53"/>
    <mergeCell ref="C40:E40"/>
    <mergeCell ref="A42:C42"/>
    <mergeCell ref="A43:G43"/>
    <mergeCell ref="D44:E44"/>
    <mergeCell ref="D45:E45"/>
    <mergeCell ref="D46:E46"/>
    <mergeCell ref="C39:E39"/>
    <mergeCell ref="A28:B28"/>
    <mergeCell ref="D28:E28"/>
    <mergeCell ref="A29:B29"/>
    <mergeCell ref="C29:E29"/>
    <mergeCell ref="C31:D31"/>
    <mergeCell ref="C32:D32"/>
    <mergeCell ref="C33:D33"/>
    <mergeCell ref="C34:D34"/>
    <mergeCell ref="A36:C36"/>
    <mergeCell ref="C37:E37"/>
    <mergeCell ref="C38:E38"/>
    <mergeCell ref="A25:B25"/>
    <mergeCell ref="C25:E25"/>
    <mergeCell ref="A26:B26"/>
    <mergeCell ref="C26:E26"/>
    <mergeCell ref="A27:B27"/>
    <mergeCell ref="C27:E27"/>
    <mergeCell ref="A22:B22"/>
    <mergeCell ref="C22:E22"/>
    <mergeCell ref="A23:B23"/>
    <mergeCell ref="D23:E23"/>
    <mergeCell ref="A24:B24"/>
    <mergeCell ref="C24:E24"/>
    <mergeCell ref="A19:B19"/>
    <mergeCell ref="C19:E19"/>
    <mergeCell ref="A20:B20"/>
    <mergeCell ref="C20:E20"/>
    <mergeCell ref="A21:B21"/>
    <mergeCell ref="C21:E21"/>
    <mergeCell ref="A14:B14"/>
    <mergeCell ref="C14:E14"/>
    <mergeCell ref="A15:B15"/>
    <mergeCell ref="C15:E15"/>
    <mergeCell ref="A18:B18"/>
    <mergeCell ref="C18:E18"/>
    <mergeCell ref="A11:B11"/>
    <mergeCell ref="C11:E11"/>
    <mergeCell ref="A12:B12"/>
    <mergeCell ref="C12:E12"/>
    <mergeCell ref="A13:B13"/>
    <mergeCell ref="C13:E13"/>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N54:O54">
    <cfRule type="cellIs" dxfId="20" priority="1" stopIfTrue="1" operator="equal">
      <formula>"passed"</formula>
    </cfRule>
    <cfRule type="cellIs" dxfId="19" priority="2" stopIfTrue="1" operator="equal">
      <formula>"cond. acc."</formula>
    </cfRule>
    <cfRule type="cellIs" dxfId="18" priority="3" stopIfTrue="1" operator="equal">
      <formula>"failed"</formula>
    </cfRule>
  </conditionalFormatting>
  <dataValidations count="7">
    <dataValidation type="list" allowBlank="1" showInputMessage="1" showErrorMessage="1" sqref="C27:E27" xr:uid="{F067A00E-259B-4B4E-9DF2-8F13FF8BFDEB}">
      <formula1>result_list</formula1>
    </dataValidation>
    <dataValidation type="list" errorStyle="warning" allowBlank="1" showInputMessage="1" showErrorMessage="1" errorTitle="Bitte aus der Liste auswählen!" promptTitle="Bitte aus der Liste auswählen!" sqref="N54" xr:uid="{C135B8F3-2246-4AD0-BB16-88C266A36FE3}">
      <formula1>#REF!</formula1>
    </dataValidation>
    <dataValidation type="list" errorStyle="warning" allowBlank="1" showInputMessage="1" showErrorMessage="1" errorTitle="Bitte Wert aus Liste auswählen!" promptTitle="Bitte Wert aus Liste auswählen!" sqref="F54" xr:uid="{647B0FDF-B9AF-4036-BA45-AA9E9AB15009}">
      <formula1>$F$991:$F$994</formula1>
    </dataValidation>
    <dataValidation type="list" errorStyle="warning" allowBlank="1" showInputMessage="1" showErrorMessage="1" errorTitle="Bitte Wert aus Liste auswählen!" promptTitle="Bitte Wert aus Liste auswählen!" sqref="E54" xr:uid="{0CC81227-B7E3-4264-AD34-FE3D2286F569}">
      <formula1>$E$992:$E$1019</formula1>
    </dataValidation>
    <dataValidation type="list" allowBlank="1" showInputMessage="1" showErrorMessage="1" sqref="F55" xr:uid="{61687532-ECC0-4D3C-8B5E-1CF52A20494C}">
      <formula1>TestTypeTSO</formula1>
    </dataValidation>
    <dataValidation type="list" allowBlank="1" showInputMessage="1" showErrorMessage="1" sqref="C18:E18" xr:uid="{F4F947DA-DAB2-4587-ADC4-3C40DD7320D2}">
      <formula1>TypeOfTest</formula1>
    </dataValidation>
    <dataValidation type="list" allowBlank="1" showInputMessage="1" showErrorMessage="1" sqref="C21:E21" xr:uid="{CE0D5B19-653B-4354-B64F-9FB91591A156}">
      <formula1>TestScope</formula1>
    </dataValidation>
  </dataValidations>
  <pageMargins left="0.78740157480314965" right="0.19685039370078741" top="0.98425196850393704" bottom="0.98425196850393704" header="0.51181102362204722" footer="0.51181102362204722"/>
  <pageSetup paperSize="9" scale="90" orientation="portrait" r:id="rId1"/>
  <headerFooter alignWithMargins="0">
    <oddFooter>&amp;C_x000D_&amp;1#&amp;"Arial"&amp;8&amp;K000000 Internal</oddFooter>
  </headerFooter>
  <rowBreaks count="2" manualBreakCount="2">
    <brk id="16" max="16383" man="1"/>
    <brk id="29" max="16383" man="1"/>
  </rowBreaks>
  <drawing r:id="rId2"/>
  <legacyDrawing r:id="rId3"/>
  <controls>
    <mc:AlternateContent xmlns:mc="http://schemas.openxmlformats.org/markup-compatibility/2006">
      <mc:Choice Requires="x14">
        <control shapeId="51201" r:id="rId4" name="CommandButton1">
          <controlPr defaultSize="0" autoLine="0" r:id="rId5">
            <anchor moveWithCells="1">
              <from>
                <xdr:col>5</xdr:col>
                <xdr:colOff>406400</xdr:colOff>
                <xdr:row>1</xdr:row>
                <xdr:rowOff>76200</xdr:rowOff>
              </from>
              <to>
                <xdr:col>8</xdr:col>
                <xdr:colOff>571500</xdr:colOff>
                <xdr:row>3</xdr:row>
                <xdr:rowOff>152400</xdr:rowOff>
              </to>
            </anchor>
          </controlPr>
        </control>
      </mc:Choice>
      <mc:Fallback>
        <control shapeId="51201"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E56FC-7CE6-457C-8A61-B1601CAA23F2}">
  <sheetPr codeName="Tabelle15">
    <tabColor indexed="44"/>
  </sheetPr>
  <dimension ref="A1:U54"/>
  <sheetViews>
    <sheetView zoomScale="81" zoomScaleNormal="81" workbookViewId="0"/>
  </sheetViews>
  <sheetFormatPr defaultColWidth="12.54296875" defaultRowHeight="14" x14ac:dyDescent="0.3"/>
  <cols>
    <col min="1" max="2" width="17.90625" style="48" customWidth="1"/>
    <col min="3" max="3" width="17.54296875" style="48" customWidth="1"/>
    <col min="4" max="4" width="27" style="49" customWidth="1"/>
    <col min="5" max="5" width="71.54296875" style="48" customWidth="1"/>
    <col min="6" max="6" width="12" style="48" customWidth="1"/>
    <col min="7" max="7" width="14.1796875" style="48" customWidth="1"/>
    <col min="8" max="16384" width="12.54296875" style="48"/>
  </cols>
  <sheetData>
    <row r="1" spans="1:5" ht="19" x14ac:dyDescent="0.4">
      <c r="A1" s="67" t="s">
        <v>56</v>
      </c>
      <c r="B1" s="67"/>
      <c r="C1" s="68"/>
      <c r="D1" s="68"/>
      <c r="E1" s="68"/>
    </row>
    <row r="2" spans="1:5" ht="25.5" customHeight="1" x14ac:dyDescent="0.3">
      <c r="A2" s="217" t="s">
        <v>94</v>
      </c>
      <c r="B2" s="218"/>
      <c r="C2" s="256" t="str">
        <f ca="1">MID(CELL("filename",$C$2),FIND("[",CELL("filename",$C$2))+1,FIND("]",CELL("filename",$C$2))-FIND("[",CELL("filename",$C$2))-1)</f>
        <v>PSM1TS.xlsm</v>
      </c>
      <c r="D2" s="256"/>
      <c r="E2" s="257"/>
    </row>
    <row r="3" spans="1:5" ht="20.149999999999999" customHeight="1" x14ac:dyDescent="0.3">
      <c r="A3" s="217" t="s">
        <v>95</v>
      </c>
      <c r="B3" s="218"/>
      <c r="C3" s="258">
        <v>1.2</v>
      </c>
      <c r="D3" s="258"/>
      <c r="E3" s="259"/>
    </row>
    <row r="4" spans="1:5" ht="20.149999999999999" customHeight="1" x14ac:dyDescent="0.3">
      <c r="A4" s="217" t="s">
        <v>96</v>
      </c>
      <c r="B4" s="218"/>
      <c r="C4" s="258" t="s">
        <v>423</v>
      </c>
      <c r="D4" s="258"/>
      <c r="E4" s="259"/>
    </row>
    <row r="5" spans="1:5" ht="138.65" customHeight="1" x14ac:dyDescent="0.3">
      <c r="A5" s="217" t="s">
        <v>97</v>
      </c>
      <c r="B5" s="218"/>
      <c r="C5" s="271" t="s">
        <v>441</v>
      </c>
      <c r="D5" s="272"/>
      <c r="E5" s="273"/>
    </row>
    <row r="6" spans="1:5" ht="39.9" customHeight="1" x14ac:dyDescent="0.3">
      <c r="A6" s="217" t="s">
        <v>57</v>
      </c>
      <c r="B6" s="218"/>
      <c r="C6" s="271" t="s">
        <v>440</v>
      </c>
      <c r="D6" s="272"/>
      <c r="E6" s="273"/>
    </row>
    <row r="7" spans="1:5" ht="48.75" customHeight="1" x14ac:dyDescent="0.3">
      <c r="A7" s="217" t="s">
        <v>211</v>
      </c>
      <c r="B7" s="218"/>
      <c r="C7" s="239" t="s">
        <v>235</v>
      </c>
      <c r="D7" s="239"/>
      <c r="E7" s="240"/>
    </row>
    <row r="8" spans="1:5" ht="39.9" customHeight="1" x14ac:dyDescent="0.3">
      <c r="A8" s="217" t="s">
        <v>58</v>
      </c>
      <c r="B8" s="218"/>
      <c r="C8" s="239" t="s">
        <v>235</v>
      </c>
      <c r="D8" s="239"/>
      <c r="E8" s="240"/>
    </row>
    <row r="9" spans="1:5" ht="20.149999999999999" customHeight="1" x14ac:dyDescent="0.3">
      <c r="A9" s="230" t="s">
        <v>60</v>
      </c>
      <c r="B9" s="231"/>
      <c r="C9" s="247"/>
      <c r="D9" s="247"/>
      <c r="E9" s="248"/>
    </row>
    <row r="10" spans="1:5" ht="20.149999999999999" customHeight="1" x14ac:dyDescent="0.3">
      <c r="A10" s="249" t="s">
        <v>61</v>
      </c>
      <c r="B10" s="250"/>
      <c r="C10" s="251" t="s">
        <v>235</v>
      </c>
      <c r="D10" s="251"/>
      <c r="E10" s="252"/>
    </row>
    <row r="11" spans="1:5" ht="39.9" customHeight="1" x14ac:dyDescent="0.3">
      <c r="A11" s="217" t="s">
        <v>63</v>
      </c>
      <c r="B11" s="218"/>
      <c r="C11" s="239" t="s">
        <v>235</v>
      </c>
      <c r="D11" s="239"/>
      <c r="E11" s="240"/>
    </row>
    <row r="12" spans="1:5" ht="39.9" customHeight="1" x14ac:dyDescent="0.3">
      <c r="A12" s="217" t="s">
        <v>65</v>
      </c>
      <c r="B12" s="218"/>
      <c r="C12" s="239" t="s">
        <v>235</v>
      </c>
      <c r="D12" s="239"/>
      <c r="E12" s="240"/>
    </row>
    <row r="13" spans="1:5" ht="39.9" customHeight="1" x14ac:dyDescent="0.3">
      <c r="A13" s="217" t="s">
        <v>67</v>
      </c>
      <c r="B13" s="218"/>
      <c r="C13" s="239" t="s">
        <v>235</v>
      </c>
      <c r="D13" s="239"/>
      <c r="E13" s="240"/>
    </row>
    <row r="14" spans="1:5" ht="39.9" customHeight="1" x14ac:dyDescent="0.3">
      <c r="A14" s="217" t="s">
        <v>69</v>
      </c>
      <c r="B14" s="218"/>
      <c r="C14" s="239" t="s">
        <v>235</v>
      </c>
      <c r="D14" s="239"/>
      <c r="E14" s="240"/>
    </row>
    <row r="15" spans="1:5" ht="39.9" customHeight="1" thickBot="1" x14ac:dyDescent="0.35">
      <c r="A15" s="201" t="s">
        <v>213</v>
      </c>
      <c r="B15" s="202"/>
      <c r="C15" s="241" t="s">
        <v>235</v>
      </c>
      <c r="D15" s="241"/>
      <c r="E15" s="242"/>
    </row>
    <row r="16" spans="1:5" ht="30" customHeight="1" x14ac:dyDescent="0.3"/>
    <row r="17" spans="1:5" ht="19.5" thickBot="1" x14ac:dyDescent="0.45">
      <c r="A17" s="67" t="s">
        <v>71</v>
      </c>
      <c r="B17" s="67"/>
      <c r="C17" s="68"/>
      <c r="D17" s="68"/>
      <c r="E17" s="68"/>
    </row>
    <row r="18" spans="1:5" ht="39.9" customHeight="1" x14ac:dyDescent="0.3">
      <c r="A18" s="243" t="s">
        <v>183</v>
      </c>
      <c r="B18" s="244"/>
      <c r="C18" s="245" t="s">
        <v>179</v>
      </c>
      <c r="D18" s="245"/>
      <c r="E18" s="246"/>
    </row>
    <row r="19" spans="1:5" ht="20.149999999999999" customHeight="1" x14ac:dyDescent="0.3">
      <c r="A19" s="230" t="s">
        <v>100</v>
      </c>
      <c r="B19" s="231"/>
      <c r="C19" s="232" t="s">
        <v>270</v>
      </c>
      <c r="D19" s="232"/>
      <c r="E19" s="233"/>
    </row>
    <row r="20" spans="1:5" ht="39.9" customHeight="1" x14ac:dyDescent="0.3">
      <c r="A20" s="217" t="s">
        <v>73</v>
      </c>
      <c r="B20" s="218"/>
      <c r="C20" s="266">
        <v>45510</v>
      </c>
      <c r="D20" s="266"/>
      <c r="E20" s="267"/>
    </row>
    <row r="21" spans="1:5" ht="39.9" customHeight="1" x14ac:dyDescent="0.3">
      <c r="A21" s="217" t="s">
        <v>74</v>
      </c>
      <c r="B21" s="218"/>
      <c r="C21" s="236" t="s">
        <v>45</v>
      </c>
      <c r="D21" s="237"/>
      <c r="E21" s="238"/>
    </row>
    <row r="22" spans="1:5" ht="39.9" customHeight="1" x14ac:dyDescent="0.3">
      <c r="A22" s="217" t="s">
        <v>185</v>
      </c>
      <c r="B22" s="218"/>
      <c r="C22" s="226" t="s">
        <v>427</v>
      </c>
      <c r="D22" s="226"/>
      <c r="E22" s="227"/>
    </row>
    <row r="23" spans="1:5" ht="20.149999999999999" customHeight="1" x14ac:dyDescent="0.3">
      <c r="A23" s="217" t="s">
        <v>75</v>
      </c>
      <c r="B23" s="218"/>
      <c r="C23" s="151" t="s">
        <v>435</v>
      </c>
      <c r="D23" s="228" t="s">
        <v>98</v>
      </c>
      <c r="E23" s="229"/>
    </row>
    <row r="24" spans="1:5" ht="39.9" customHeight="1" x14ac:dyDescent="0.3">
      <c r="A24" s="217" t="s">
        <v>122</v>
      </c>
      <c r="B24" s="218"/>
      <c r="C24" s="219">
        <v>81</v>
      </c>
      <c r="D24" s="219"/>
      <c r="E24" s="220"/>
    </row>
    <row r="25" spans="1:5" ht="39.9" customHeight="1" x14ac:dyDescent="0.3">
      <c r="A25" s="217" t="s">
        <v>218</v>
      </c>
      <c r="B25" s="218"/>
      <c r="C25" s="219">
        <v>0</v>
      </c>
      <c r="D25" s="219"/>
      <c r="E25" s="220"/>
    </row>
    <row r="26" spans="1:5" ht="39.9" customHeight="1" x14ac:dyDescent="0.3">
      <c r="A26" s="217" t="s">
        <v>76</v>
      </c>
      <c r="B26" s="218"/>
      <c r="C26" s="219">
        <v>0</v>
      </c>
      <c r="D26" s="219"/>
      <c r="E26" s="220"/>
    </row>
    <row r="27" spans="1:5" ht="39.9" customHeight="1" x14ac:dyDescent="0.3">
      <c r="A27" s="221" t="s">
        <v>77</v>
      </c>
      <c r="B27" s="222"/>
      <c r="C27" s="223" t="s">
        <v>237</v>
      </c>
      <c r="D27" s="224"/>
      <c r="E27" s="225"/>
    </row>
    <row r="28" spans="1:5" ht="39.9" customHeight="1" thickBot="1" x14ac:dyDescent="0.35">
      <c r="A28" s="201" t="s">
        <v>78</v>
      </c>
      <c r="B28" s="202"/>
      <c r="C28" s="63" t="s">
        <v>93</v>
      </c>
      <c r="D28" s="270">
        <v>0.89</v>
      </c>
      <c r="E28" s="204"/>
    </row>
    <row r="29" spans="1:5" ht="69.75" customHeight="1" thickBot="1" x14ac:dyDescent="0.35">
      <c r="A29" s="205" t="s">
        <v>210</v>
      </c>
      <c r="B29" s="206"/>
      <c r="C29" s="207" t="s">
        <v>235</v>
      </c>
      <c r="D29" s="207"/>
      <c r="E29" s="208"/>
    </row>
    <row r="30" spans="1:5" ht="54" customHeight="1" thickBot="1" x14ac:dyDescent="0.45">
      <c r="A30" s="47" t="s">
        <v>79</v>
      </c>
      <c r="B30" s="50"/>
    </row>
    <row r="31" spans="1:5" ht="15.5" x14ac:dyDescent="0.3">
      <c r="A31" s="64" t="s">
        <v>45</v>
      </c>
      <c r="B31" s="65" t="s">
        <v>123</v>
      </c>
      <c r="C31" s="209" t="s">
        <v>80</v>
      </c>
      <c r="D31" s="210"/>
      <c r="E31" s="66" t="s">
        <v>219</v>
      </c>
    </row>
    <row r="32" spans="1:5" ht="15.5" x14ac:dyDescent="0.3">
      <c r="A32" s="51"/>
      <c r="B32" s="52"/>
      <c r="C32" s="211"/>
      <c r="D32" s="212"/>
      <c r="E32" s="53"/>
    </row>
    <row r="33" spans="1:7" ht="15.5" x14ac:dyDescent="0.3">
      <c r="A33" s="51"/>
      <c r="B33" s="52"/>
      <c r="C33" s="197"/>
      <c r="D33" s="213"/>
      <c r="E33" s="53"/>
    </row>
    <row r="34" spans="1:7" ht="16" thickBot="1" x14ac:dyDescent="0.35">
      <c r="A34" s="54"/>
      <c r="B34" s="55"/>
      <c r="C34" s="189"/>
      <c r="D34" s="214"/>
      <c r="E34" s="56"/>
    </row>
    <row r="35" spans="1:7" ht="30" customHeight="1" x14ac:dyDescent="0.3"/>
    <row r="36" spans="1:7" ht="19.5" thickBot="1" x14ac:dyDescent="0.45">
      <c r="A36" s="194" t="s">
        <v>81</v>
      </c>
      <c r="B36" s="194"/>
      <c r="C36" s="194"/>
    </row>
    <row r="37" spans="1:7" ht="31" x14ac:dyDescent="0.3">
      <c r="A37" s="152" t="s">
        <v>4</v>
      </c>
      <c r="B37" s="153" t="s">
        <v>82</v>
      </c>
      <c r="C37" s="276" t="s">
        <v>9</v>
      </c>
      <c r="D37" s="276"/>
      <c r="E37" s="277"/>
    </row>
    <row r="38" spans="1:7" ht="247.75" customHeight="1" x14ac:dyDescent="0.3">
      <c r="A38" s="154" t="s">
        <v>424</v>
      </c>
      <c r="B38" s="154" t="s">
        <v>425</v>
      </c>
      <c r="C38" s="274" t="s">
        <v>429</v>
      </c>
      <c r="D38" s="274"/>
      <c r="E38" s="274"/>
    </row>
    <row r="39" spans="1:7" ht="409.6" customHeight="1" x14ac:dyDescent="0.3">
      <c r="A39" s="274" t="s">
        <v>437</v>
      </c>
      <c r="B39" s="275"/>
      <c r="C39" s="274" t="s">
        <v>436</v>
      </c>
      <c r="D39" s="274"/>
      <c r="E39" s="274"/>
    </row>
    <row r="40" spans="1:7" ht="409.6" customHeight="1" x14ac:dyDescent="0.3">
      <c r="A40" s="274"/>
      <c r="B40" s="275"/>
      <c r="C40" s="274"/>
      <c r="D40" s="274"/>
      <c r="E40" s="274"/>
    </row>
    <row r="41" spans="1:7" ht="19" x14ac:dyDescent="0.4">
      <c r="A41" s="194" t="s">
        <v>220</v>
      </c>
      <c r="B41" s="194"/>
      <c r="C41" s="194"/>
      <c r="D41" s="117"/>
      <c r="E41" s="117"/>
    </row>
    <row r="42" spans="1:7" s="49" customFormat="1" ht="30" customHeight="1" x14ac:dyDescent="0.3">
      <c r="A42" s="186" t="s">
        <v>225</v>
      </c>
      <c r="B42" s="186"/>
      <c r="C42" s="186"/>
      <c r="D42" s="186"/>
      <c r="E42" s="186"/>
      <c r="F42" s="186"/>
      <c r="G42" s="186"/>
    </row>
    <row r="43" spans="1:7" ht="15.5" x14ac:dyDescent="0.3">
      <c r="A43" s="118" t="s">
        <v>4</v>
      </c>
      <c r="B43" s="119" t="s">
        <v>222</v>
      </c>
      <c r="C43" s="119" t="s">
        <v>223</v>
      </c>
      <c r="D43" s="195" t="s">
        <v>224</v>
      </c>
      <c r="E43" s="196"/>
    </row>
    <row r="44" spans="1:7" ht="170.5" x14ac:dyDescent="0.3">
      <c r="A44" s="51" t="s">
        <v>226</v>
      </c>
      <c r="B44" s="52"/>
      <c r="C44" s="52"/>
      <c r="D44" s="197"/>
      <c r="E44" s="198"/>
    </row>
    <row r="45" spans="1:7" ht="140" thickBot="1" x14ac:dyDescent="0.35">
      <c r="A45" s="54" t="s">
        <v>221</v>
      </c>
      <c r="B45" s="55"/>
      <c r="C45" s="55"/>
      <c r="D45" s="189"/>
      <c r="E45" s="190"/>
    </row>
    <row r="46" spans="1:7" ht="15.5" x14ac:dyDescent="0.3">
      <c r="A46" s="116"/>
      <c r="B46" s="116"/>
      <c r="C46" s="117"/>
      <c r="D46" s="117"/>
      <c r="E46" s="117"/>
    </row>
    <row r="47" spans="1:7" s="49" customFormat="1" ht="40.5" customHeight="1" thickBot="1" x14ac:dyDescent="0.35">
      <c r="A47" s="186" t="s">
        <v>227</v>
      </c>
      <c r="B47" s="186"/>
      <c r="C47" s="186"/>
      <c r="D47" s="186"/>
      <c r="E47" s="186"/>
      <c r="F47" s="186"/>
      <c r="G47" s="186"/>
    </row>
    <row r="48" spans="1:7" ht="15.5" x14ac:dyDescent="0.3">
      <c r="A48" s="64" t="s">
        <v>4</v>
      </c>
      <c r="B48" s="65" t="s">
        <v>222</v>
      </c>
      <c r="C48" s="65" t="s">
        <v>223</v>
      </c>
      <c r="D48" s="187" t="s">
        <v>224</v>
      </c>
      <c r="E48" s="188"/>
    </row>
    <row r="49" spans="1:21" ht="140" thickBot="1" x14ac:dyDescent="0.35">
      <c r="A49" s="54" t="s">
        <v>228</v>
      </c>
      <c r="B49" s="55"/>
      <c r="C49" s="55"/>
      <c r="D49" s="189"/>
      <c r="E49" s="190"/>
    </row>
    <row r="50" spans="1:21" ht="15.5" x14ac:dyDescent="0.3">
      <c r="A50" s="116"/>
      <c r="B50" s="116"/>
      <c r="C50" s="117"/>
      <c r="D50" s="117"/>
      <c r="E50" s="117"/>
    </row>
    <row r="52" spans="1:21" ht="19" x14ac:dyDescent="0.4">
      <c r="A52" s="194" t="s">
        <v>101</v>
      </c>
      <c r="B52" s="194"/>
      <c r="C52" s="194"/>
    </row>
    <row r="53" spans="1:21" s="123" customFormat="1" ht="131.25" customHeight="1" x14ac:dyDescent="0.25">
      <c r="A53" s="114" t="s">
        <v>102</v>
      </c>
      <c r="B53" s="114" t="s">
        <v>103</v>
      </c>
      <c r="C53" s="114" t="s">
        <v>104</v>
      </c>
      <c r="D53" s="114" t="s">
        <v>105</v>
      </c>
      <c r="E53" s="114" t="s">
        <v>106</v>
      </c>
      <c r="F53" s="114" t="s">
        <v>107</v>
      </c>
      <c r="G53" s="114" t="s">
        <v>108</v>
      </c>
      <c r="H53" s="114" t="s">
        <v>109</v>
      </c>
      <c r="I53" s="120" t="s">
        <v>110</v>
      </c>
      <c r="J53" s="121" t="s">
        <v>111</v>
      </c>
      <c r="K53" s="114" t="s">
        <v>112</v>
      </c>
      <c r="L53" s="114" t="s">
        <v>113</v>
      </c>
      <c r="M53" s="120" t="s">
        <v>114</v>
      </c>
      <c r="N53" s="121" t="s">
        <v>115</v>
      </c>
      <c r="O53" s="114" t="s">
        <v>91</v>
      </c>
      <c r="P53" s="122" t="s">
        <v>116</v>
      </c>
      <c r="Q53" s="114" t="s">
        <v>117</v>
      </c>
      <c r="R53" s="114" t="s">
        <v>218</v>
      </c>
      <c r="S53" s="114" t="s">
        <v>76</v>
      </c>
      <c r="T53" s="114" t="s">
        <v>118</v>
      </c>
      <c r="U53" s="114" t="s">
        <v>119</v>
      </c>
    </row>
    <row r="54" spans="1:21" x14ac:dyDescent="0.3">
      <c r="D54" s="70" t="s">
        <v>120</v>
      </c>
      <c r="E54" s="70" t="s">
        <v>121</v>
      </c>
      <c r="F54" s="48" t="str">
        <f>C18</f>
        <v>FULL</v>
      </c>
      <c r="H54" s="71" t="str">
        <f>C5</f>
        <v>Gtest Branch: https://github-vni.geo.conti.de/cds/sw.pkg.em_psm/commit/8624fa2393f7e846cd4355bd0f4628bc5becb8ab</v>
      </c>
      <c r="I54" s="71" t="str">
        <f>Tester</f>
        <v>Akshat Kumar</v>
      </c>
      <c r="J54" s="94"/>
      <c r="K54" s="94"/>
      <c r="L54" s="94"/>
      <c r="M54" s="94">
        <f>TestDate</f>
        <v>45510</v>
      </c>
      <c r="N54" s="70" t="s">
        <v>189</v>
      </c>
      <c r="O54" s="71" t="str">
        <f>TestResult</f>
        <v>Passed</v>
      </c>
      <c r="P54" s="71" t="str">
        <f>C23</f>
        <v>1.52s</v>
      </c>
      <c r="Q54" s="71">
        <f>$C$24</f>
        <v>81</v>
      </c>
      <c r="R54" s="71">
        <f>$C$25</f>
        <v>0</v>
      </c>
      <c r="S54" s="71">
        <f>$C$26</f>
        <v>0</v>
      </c>
      <c r="T54" s="71">
        <f>$D$28</f>
        <v>0.89</v>
      </c>
    </row>
  </sheetData>
  <mergeCells count="71">
    <mergeCell ref="A47:G47"/>
    <mergeCell ref="D48:E48"/>
    <mergeCell ref="D49:E49"/>
    <mergeCell ref="A52:C52"/>
    <mergeCell ref="A41:C41"/>
    <mergeCell ref="A42:G42"/>
    <mergeCell ref="D43:E43"/>
    <mergeCell ref="D44:E44"/>
    <mergeCell ref="D45:E45"/>
    <mergeCell ref="A39:A40"/>
    <mergeCell ref="B39:B40"/>
    <mergeCell ref="C39:E40"/>
    <mergeCell ref="C33:D33"/>
    <mergeCell ref="C34:D34"/>
    <mergeCell ref="A36:C36"/>
    <mergeCell ref="C37:E37"/>
    <mergeCell ref="C38:E38"/>
    <mergeCell ref="C32:D32"/>
    <mergeCell ref="A25:B25"/>
    <mergeCell ref="C25:E25"/>
    <mergeCell ref="A26:B26"/>
    <mergeCell ref="C26:E26"/>
    <mergeCell ref="A27:B27"/>
    <mergeCell ref="C27:E27"/>
    <mergeCell ref="A28:B28"/>
    <mergeCell ref="D28:E28"/>
    <mergeCell ref="A29:B29"/>
    <mergeCell ref="C29:E29"/>
    <mergeCell ref="C31:D31"/>
    <mergeCell ref="A22:B22"/>
    <mergeCell ref="C22:E22"/>
    <mergeCell ref="A23:B23"/>
    <mergeCell ref="D23:E23"/>
    <mergeCell ref="A24:B24"/>
    <mergeCell ref="C24:E24"/>
    <mergeCell ref="A19:B19"/>
    <mergeCell ref="C19:E19"/>
    <mergeCell ref="A20:B20"/>
    <mergeCell ref="C20:E20"/>
    <mergeCell ref="A21:B21"/>
    <mergeCell ref="C21:E21"/>
    <mergeCell ref="A14:B14"/>
    <mergeCell ref="C14:E14"/>
    <mergeCell ref="A15:B15"/>
    <mergeCell ref="C15:E15"/>
    <mergeCell ref="A18:B18"/>
    <mergeCell ref="C18:E18"/>
    <mergeCell ref="A11:B11"/>
    <mergeCell ref="C11:E11"/>
    <mergeCell ref="A12:B12"/>
    <mergeCell ref="C12:E12"/>
    <mergeCell ref="A13:B13"/>
    <mergeCell ref="C13:E13"/>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honeticPr fontId="26" type="noConversion"/>
  <conditionalFormatting sqref="N53:O53">
    <cfRule type="cellIs" dxfId="17" priority="1" stopIfTrue="1" operator="equal">
      <formula>"passed"</formula>
    </cfRule>
    <cfRule type="cellIs" dxfId="16" priority="2" stopIfTrue="1" operator="equal">
      <formula>"cond. acc."</formula>
    </cfRule>
    <cfRule type="cellIs" dxfId="15" priority="3" stopIfTrue="1" operator="equal">
      <formula>"failed"</formula>
    </cfRule>
  </conditionalFormatting>
  <dataValidations count="7">
    <dataValidation type="list" allowBlank="1" showInputMessage="1" showErrorMessage="1" sqref="C27:E27" xr:uid="{50A480E7-267A-440A-AA46-EC84C7F1A33A}">
      <formula1>result_list</formula1>
    </dataValidation>
    <dataValidation type="list" errorStyle="warning" allowBlank="1" showInputMessage="1" showErrorMessage="1" errorTitle="Bitte aus der Liste auswählen!" promptTitle="Bitte aus der Liste auswählen!" sqref="N53" xr:uid="{75A712E3-960F-4769-B7D5-DA72F2D7015B}">
      <formula1>#REF!</formula1>
    </dataValidation>
    <dataValidation type="list" errorStyle="warning" allowBlank="1" showInputMessage="1" showErrorMessage="1" errorTitle="Bitte Wert aus Liste auswählen!" promptTitle="Bitte Wert aus Liste auswählen!" sqref="F53" xr:uid="{35F5A5A6-A9CE-449B-A41B-6B5C5FE35A9B}">
      <formula1>$F$990:$F$993</formula1>
    </dataValidation>
    <dataValidation type="list" errorStyle="warning" allowBlank="1" showInputMessage="1" showErrorMessage="1" errorTitle="Bitte Wert aus Liste auswählen!" promptTitle="Bitte Wert aus Liste auswählen!" sqref="E53" xr:uid="{165283AE-367C-48E6-B513-6A12AE812578}">
      <formula1>$E$991:$E$1018</formula1>
    </dataValidation>
    <dataValidation type="list" allowBlank="1" showInputMessage="1" showErrorMessage="1" sqref="F54" xr:uid="{5F631361-B599-4A8D-8219-66A6CC06E5E4}">
      <formula1>TestTypeTSO</formula1>
    </dataValidation>
    <dataValidation type="list" allowBlank="1" showInputMessage="1" showErrorMessage="1" sqref="C18:E18" xr:uid="{55D10CF4-F410-4B3A-A083-91D13ECF5DC7}">
      <formula1>TypeOfTest</formula1>
    </dataValidation>
    <dataValidation type="list" allowBlank="1" showInputMessage="1" showErrorMessage="1" sqref="C21:E21" xr:uid="{BC59D4A1-D814-4779-BAA6-140AD1E574F0}">
      <formula1>TestScope</formula1>
    </dataValidation>
  </dataValidations>
  <hyperlinks>
    <hyperlink ref="C5:E5" r:id="rId1" display="Gtest Branch: https://github-vni.geo.conti.de/cds/sw.pkg.em_psm/commit/e1d915b3169eefeefd2540b0cd431fd5a8fa0c85" xr:uid="{8DB1E3A7-206C-4657-9DD3-BAAF64C691C3}"/>
    <hyperlink ref="C6:E6" r:id="rId2" display="e1d915b3169eefeefd2540b0cd431fd5a8fa0c86" xr:uid="{CF7C1DE7-A56C-4E04-839E-57A0CB475570}"/>
  </hyperlinks>
  <pageMargins left="0.78740157480314965" right="0.19685039370078741" top="0.98425196850393704" bottom="0.98425196850393704" header="0.51181102362204722" footer="0.51181102362204722"/>
  <pageSetup paperSize="9" scale="90" orientation="portrait" r:id="rId3"/>
  <headerFooter alignWithMargins="0">
    <oddFooter>&amp;C_x000D_&amp;1#&amp;"Arial"&amp;8&amp;K000000 Internal</oddFooter>
  </headerFooter>
  <rowBreaks count="2" manualBreakCount="2">
    <brk id="16" max="16383" man="1"/>
    <brk id="29" max="16383" man="1"/>
  </rowBreaks>
  <drawing r:id="rId4"/>
  <legacyDrawing r:id="rId5"/>
  <oleObjects>
    <mc:AlternateContent xmlns:mc="http://schemas.openxmlformats.org/markup-compatibility/2006">
      <mc:Choice Requires="x14">
        <oleObject progId="Packager Shell Object" dvAspect="DVASPECT_ICON" shapeId="65566" r:id="rId6">
          <objectPr defaultSize="0" autoPict="0" r:id="rId7">
            <anchor moveWithCells="1" sizeWithCells="1">
              <from>
                <xdr:col>6</xdr:col>
                <xdr:colOff>6350</xdr:colOff>
                <xdr:row>4</xdr:row>
                <xdr:rowOff>0</xdr:rowOff>
              </from>
              <to>
                <xdr:col>7</xdr:col>
                <xdr:colOff>6350</xdr:colOff>
                <xdr:row>4</xdr:row>
                <xdr:rowOff>730250</xdr:rowOff>
              </to>
            </anchor>
          </objectPr>
        </oleObject>
      </mc:Choice>
      <mc:Fallback>
        <oleObject progId="Packager Shell Object" dvAspect="DVASPECT_ICON" shapeId="65566" r:id="rId6"/>
      </mc:Fallback>
    </mc:AlternateContent>
    <mc:AlternateContent xmlns:mc="http://schemas.openxmlformats.org/markup-compatibility/2006">
      <mc:Choice Requires="x14">
        <oleObject progId="Packager Shell Object" dvAspect="DVASPECT_ICON" shapeId="65567" r:id="rId8">
          <objectPr defaultSize="0" autoPict="0" r:id="rId9">
            <anchor moveWithCells="1" sizeWithCells="1">
              <from>
                <xdr:col>6</xdr:col>
                <xdr:colOff>12700</xdr:colOff>
                <xdr:row>4</xdr:row>
                <xdr:rowOff>1054100</xdr:rowOff>
              </from>
              <to>
                <xdr:col>8</xdr:col>
                <xdr:colOff>0</xdr:colOff>
                <xdr:row>4</xdr:row>
                <xdr:rowOff>1739900</xdr:rowOff>
              </to>
            </anchor>
          </objectPr>
        </oleObject>
      </mc:Choice>
      <mc:Fallback>
        <oleObject progId="Packager Shell Object" dvAspect="DVASPECT_ICON" shapeId="65567" r:id="rId8"/>
      </mc:Fallback>
    </mc:AlternateContent>
  </oleObjects>
  <controls>
    <mc:AlternateContent xmlns:mc="http://schemas.openxmlformats.org/markup-compatibility/2006">
      <mc:Choice Requires="x14">
        <control shapeId="65537" r:id="rId10" name="CommandButton1">
          <controlPr defaultSize="0" autoLine="0" r:id="rId11">
            <anchor moveWithCells="1">
              <from>
                <xdr:col>5</xdr:col>
                <xdr:colOff>406400</xdr:colOff>
                <xdr:row>1</xdr:row>
                <xdr:rowOff>76200</xdr:rowOff>
              </from>
              <to>
                <xdr:col>8</xdr:col>
                <xdr:colOff>565150</xdr:colOff>
                <xdr:row>3</xdr:row>
                <xdr:rowOff>152400</xdr:rowOff>
              </to>
            </anchor>
          </controlPr>
        </control>
      </mc:Choice>
      <mc:Fallback>
        <control shapeId="65537" r:id="rId10"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2E519-5DDC-443D-AFC3-5DF2454F7DBF}">
  <sheetPr codeName="Tabelle16">
    <tabColor indexed="44"/>
  </sheetPr>
  <dimension ref="A1:U53"/>
  <sheetViews>
    <sheetView zoomScale="81" zoomScaleNormal="81" workbookViewId="0"/>
  </sheetViews>
  <sheetFormatPr defaultColWidth="12.54296875" defaultRowHeight="14" x14ac:dyDescent="0.3"/>
  <cols>
    <col min="1" max="2" width="17.90625" style="48" customWidth="1"/>
    <col min="3" max="3" width="17.54296875" style="48" customWidth="1"/>
    <col min="4" max="4" width="27" style="49" customWidth="1"/>
    <col min="5" max="5" width="71.54296875" style="48" customWidth="1"/>
    <col min="6" max="6" width="12" style="48" customWidth="1"/>
    <col min="7" max="7" width="14.1796875" style="48" customWidth="1"/>
    <col min="8" max="16384" width="12.54296875" style="48"/>
  </cols>
  <sheetData>
    <row r="1" spans="1:5" ht="19" x14ac:dyDescent="0.4">
      <c r="A1" s="67" t="s">
        <v>56</v>
      </c>
      <c r="B1" s="67"/>
      <c r="C1" s="68"/>
      <c r="D1" s="68"/>
      <c r="E1" s="68"/>
    </row>
    <row r="2" spans="1:5" ht="25.5" customHeight="1" x14ac:dyDescent="0.3">
      <c r="A2" s="217" t="s">
        <v>94</v>
      </c>
      <c r="B2" s="218"/>
      <c r="C2" s="256" t="str">
        <f ca="1">MID(CELL("filename",$C$2),FIND("[",CELL("filename",$C$2))+1,FIND("]",CELL("filename",$C$2))-FIND("[",CELL("filename",$C$2))-1)</f>
        <v>PSM1TS.xlsm</v>
      </c>
      <c r="D2" s="256"/>
      <c r="E2" s="257"/>
    </row>
    <row r="3" spans="1:5" ht="20.149999999999999" customHeight="1" x14ac:dyDescent="0.3">
      <c r="A3" s="217" t="s">
        <v>95</v>
      </c>
      <c r="B3" s="218"/>
      <c r="C3" s="258">
        <v>1.4</v>
      </c>
      <c r="D3" s="258"/>
      <c r="E3" s="259"/>
    </row>
    <row r="4" spans="1:5" ht="20.149999999999999" customHeight="1" x14ac:dyDescent="0.3">
      <c r="A4" s="217" t="s">
        <v>96</v>
      </c>
      <c r="B4" s="218"/>
      <c r="C4" s="258" t="s">
        <v>423</v>
      </c>
      <c r="D4" s="258"/>
      <c r="E4" s="259"/>
    </row>
    <row r="5" spans="1:5" ht="138.65" customHeight="1" x14ac:dyDescent="0.3">
      <c r="A5" s="217" t="s">
        <v>97</v>
      </c>
      <c r="B5" s="218"/>
      <c r="C5" s="271" t="s">
        <v>455</v>
      </c>
      <c r="D5" s="272"/>
      <c r="E5" s="273"/>
    </row>
    <row r="6" spans="1:5" ht="39.9" customHeight="1" x14ac:dyDescent="0.3">
      <c r="A6" s="217" t="s">
        <v>57</v>
      </c>
      <c r="B6" s="218"/>
      <c r="C6" s="271" t="s">
        <v>456</v>
      </c>
      <c r="D6" s="272"/>
      <c r="E6" s="273"/>
    </row>
    <row r="7" spans="1:5" ht="48.75" customHeight="1" x14ac:dyDescent="0.3">
      <c r="A7" s="217" t="s">
        <v>211</v>
      </c>
      <c r="B7" s="218"/>
      <c r="C7" s="239" t="s">
        <v>235</v>
      </c>
      <c r="D7" s="239"/>
      <c r="E7" s="240"/>
    </row>
    <row r="8" spans="1:5" ht="39.9" customHeight="1" x14ac:dyDescent="0.3">
      <c r="A8" s="217" t="s">
        <v>58</v>
      </c>
      <c r="B8" s="218"/>
      <c r="C8" s="239" t="s">
        <v>235</v>
      </c>
      <c r="D8" s="239"/>
      <c r="E8" s="240"/>
    </row>
    <row r="9" spans="1:5" ht="20.149999999999999" customHeight="1" x14ac:dyDescent="0.3">
      <c r="A9" s="230" t="s">
        <v>60</v>
      </c>
      <c r="B9" s="231"/>
      <c r="C9" s="247"/>
      <c r="D9" s="247"/>
      <c r="E9" s="248"/>
    </row>
    <row r="10" spans="1:5" ht="20.149999999999999" customHeight="1" x14ac:dyDescent="0.3">
      <c r="A10" s="249" t="s">
        <v>61</v>
      </c>
      <c r="B10" s="250"/>
      <c r="C10" s="251" t="s">
        <v>235</v>
      </c>
      <c r="D10" s="251"/>
      <c r="E10" s="252"/>
    </row>
    <row r="11" spans="1:5" ht="39.9" customHeight="1" x14ac:dyDescent="0.3">
      <c r="A11" s="217" t="s">
        <v>63</v>
      </c>
      <c r="B11" s="218"/>
      <c r="C11" s="239" t="s">
        <v>235</v>
      </c>
      <c r="D11" s="239"/>
      <c r="E11" s="240"/>
    </row>
    <row r="12" spans="1:5" ht="39.9" customHeight="1" x14ac:dyDescent="0.3">
      <c r="A12" s="217" t="s">
        <v>65</v>
      </c>
      <c r="B12" s="218"/>
      <c r="C12" s="239" t="s">
        <v>235</v>
      </c>
      <c r="D12" s="239"/>
      <c r="E12" s="240"/>
    </row>
    <row r="13" spans="1:5" ht="39.9" customHeight="1" x14ac:dyDescent="0.3">
      <c r="A13" s="217" t="s">
        <v>67</v>
      </c>
      <c r="B13" s="218"/>
      <c r="C13" s="239" t="s">
        <v>235</v>
      </c>
      <c r="D13" s="239"/>
      <c r="E13" s="240"/>
    </row>
    <row r="14" spans="1:5" ht="39.9" customHeight="1" x14ac:dyDescent="0.3">
      <c r="A14" s="217" t="s">
        <v>69</v>
      </c>
      <c r="B14" s="218"/>
      <c r="C14" s="239" t="s">
        <v>235</v>
      </c>
      <c r="D14" s="239"/>
      <c r="E14" s="240"/>
    </row>
    <row r="15" spans="1:5" ht="39.9" customHeight="1" thickBot="1" x14ac:dyDescent="0.35">
      <c r="A15" s="201" t="s">
        <v>213</v>
      </c>
      <c r="B15" s="202"/>
      <c r="C15" s="241" t="s">
        <v>235</v>
      </c>
      <c r="D15" s="241"/>
      <c r="E15" s="242"/>
    </row>
    <row r="16" spans="1:5" ht="30" customHeight="1" x14ac:dyDescent="0.3"/>
    <row r="17" spans="1:5" ht="19.5" thickBot="1" x14ac:dyDescent="0.45">
      <c r="A17" s="67" t="s">
        <v>71</v>
      </c>
      <c r="B17" s="67"/>
      <c r="C17" s="68"/>
      <c r="D17" s="68"/>
      <c r="E17" s="68"/>
    </row>
    <row r="18" spans="1:5" ht="39.9" customHeight="1" x14ac:dyDescent="0.3">
      <c r="A18" s="243" t="s">
        <v>183</v>
      </c>
      <c r="B18" s="244"/>
      <c r="C18" s="245" t="s">
        <v>179</v>
      </c>
      <c r="D18" s="245"/>
      <c r="E18" s="246"/>
    </row>
    <row r="19" spans="1:5" ht="20.149999999999999" customHeight="1" x14ac:dyDescent="0.3">
      <c r="A19" s="230" t="s">
        <v>100</v>
      </c>
      <c r="B19" s="231"/>
      <c r="C19" s="232" t="s">
        <v>270</v>
      </c>
      <c r="D19" s="232"/>
      <c r="E19" s="233"/>
    </row>
    <row r="20" spans="1:5" ht="39.9" customHeight="1" x14ac:dyDescent="0.3">
      <c r="A20" s="217" t="s">
        <v>73</v>
      </c>
      <c r="B20" s="218"/>
      <c r="C20" s="266">
        <v>45540</v>
      </c>
      <c r="D20" s="266"/>
      <c r="E20" s="267"/>
    </row>
    <row r="21" spans="1:5" ht="39.9" customHeight="1" x14ac:dyDescent="0.3">
      <c r="A21" s="217" t="s">
        <v>74</v>
      </c>
      <c r="B21" s="218"/>
      <c r="C21" s="236" t="s">
        <v>45</v>
      </c>
      <c r="D21" s="237"/>
      <c r="E21" s="238"/>
    </row>
    <row r="22" spans="1:5" ht="39.9" customHeight="1" x14ac:dyDescent="0.3">
      <c r="A22" s="217" t="s">
        <v>185</v>
      </c>
      <c r="B22" s="218"/>
      <c r="C22" s="226" t="s">
        <v>457</v>
      </c>
      <c r="D22" s="226"/>
      <c r="E22" s="227"/>
    </row>
    <row r="23" spans="1:5" ht="20.149999999999999" customHeight="1" x14ac:dyDescent="0.3">
      <c r="A23" s="217" t="s">
        <v>75</v>
      </c>
      <c r="B23" s="218"/>
      <c r="C23" s="155" t="s">
        <v>458</v>
      </c>
      <c r="D23" s="228" t="s">
        <v>98</v>
      </c>
      <c r="E23" s="229"/>
    </row>
    <row r="24" spans="1:5" ht="39.9" customHeight="1" x14ac:dyDescent="0.3">
      <c r="A24" s="217" t="s">
        <v>122</v>
      </c>
      <c r="B24" s="218"/>
      <c r="C24" s="219">
        <v>88</v>
      </c>
      <c r="D24" s="219"/>
      <c r="E24" s="220"/>
    </row>
    <row r="25" spans="1:5" ht="39.9" customHeight="1" x14ac:dyDescent="0.3">
      <c r="A25" s="217" t="s">
        <v>218</v>
      </c>
      <c r="B25" s="218"/>
      <c r="C25" s="219">
        <v>0</v>
      </c>
      <c r="D25" s="219"/>
      <c r="E25" s="220"/>
    </row>
    <row r="26" spans="1:5" ht="39.9" customHeight="1" x14ac:dyDescent="0.3">
      <c r="A26" s="217" t="s">
        <v>76</v>
      </c>
      <c r="B26" s="218"/>
      <c r="C26" s="219">
        <v>0</v>
      </c>
      <c r="D26" s="219"/>
      <c r="E26" s="220"/>
    </row>
    <row r="27" spans="1:5" ht="39.9" customHeight="1" x14ac:dyDescent="0.3">
      <c r="A27" s="221" t="s">
        <v>77</v>
      </c>
      <c r="B27" s="222"/>
      <c r="C27" s="223" t="s">
        <v>237</v>
      </c>
      <c r="D27" s="224"/>
      <c r="E27" s="225"/>
    </row>
    <row r="28" spans="1:5" ht="39.9" customHeight="1" thickBot="1" x14ac:dyDescent="0.35">
      <c r="A28" s="201" t="s">
        <v>78</v>
      </c>
      <c r="B28" s="202"/>
      <c r="C28" s="63" t="s">
        <v>93</v>
      </c>
      <c r="D28" s="270">
        <v>0.99</v>
      </c>
      <c r="E28" s="204"/>
    </row>
    <row r="29" spans="1:5" ht="69.75" customHeight="1" thickBot="1" x14ac:dyDescent="0.35">
      <c r="A29" s="205" t="s">
        <v>210</v>
      </c>
      <c r="B29" s="206"/>
      <c r="C29" s="207" t="s">
        <v>235</v>
      </c>
      <c r="D29" s="207"/>
      <c r="E29" s="208"/>
    </row>
    <row r="30" spans="1:5" ht="54" customHeight="1" thickBot="1" x14ac:dyDescent="0.45">
      <c r="A30" s="47" t="s">
        <v>79</v>
      </c>
      <c r="B30" s="50"/>
    </row>
    <row r="31" spans="1:5" ht="15.5" x14ac:dyDescent="0.3">
      <c r="A31" s="64" t="s">
        <v>45</v>
      </c>
      <c r="B31" s="65" t="s">
        <v>123</v>
      </c>
      <c r="C31" s="209" t="s">
        <v>80</v>
      </c>
      <c r="D31" s="210"/>
      <c r="E31" s="66" t="s">
        <v>219</v>
      </c>
    </row>
    <row r="32" spans="1:5" ht="15.5" x14ac:dyDescent="0.3">
      <c r="A32" s="51"/>
      <c r="B32" s="52"/>
      <c r="C32" s="211"/>
      <c r="D32" s="212"/>
      <c r="E32" s="53"/>
    </row>
    <row r="33" spans="1:7" ht="15.5" x14ac:dyDescent="0.3">
      <c r="A33" s="51"/>
      <c r="B33" s="52"/>
      <c r="C33" s="197"/>
      <c r="D33" s="213"/>
      <c r="E33" s="53"/>
    </row>
    <row r="34" spans="1:7" ht="16" thickBot="1" x14ac:dyDescent="0.35">
      <c r="A34" s="54"/>
      <c r="B34" s="55"/>
      <c r="C34" s="189"/>
      <c r="D34" s="214"/>
      <c r="E34" s="56"/>
    </row>
    <row r="35" spans="1:7" ht="30" customHeight="1" x14ac:dyDescent="0.3"/>
    <row r="36" spans="1:7" ht="19.5" thickBot="1" x14ac:dyDescent="0.45">
      <c r="A36" s="194" t="s">
        <v>81</v>
      </c>
      <c r="B36" s="194"/>
      <c r="C36" s="194"/>
    </row>
    <row r="37" spans="1:7" ht="31" x14ac:dyDescent="0.3">
      <c r="A37" s="152" t="s">
        <v>4</v>
      </c>
      <c r="B37" s="153" t="s">
        <v>82</v>
      </c>
      <c r="C37" s="276" t="s">
        <v>9</v>
      </c>
      <c r="D37" s="276"/>
      <c r="E37" s="277"/>
    </row>
    <row r="38" spans="1:7" ht="247.75" customHeight="1" x14ac:dyDescent="0.3">
      <c r="A38" s="156" t="s">
        <v>424</v>
      </c>
      <c r="B38" s="156" t="s">
        <v>425</v>
      </c>
      <c r="C38" s="274" t="s">
        <v>429</v>
      </c>
      <c r="D38" s="274"/>
      <c r="E38" s="274"/>
    </row>
    <row r="39" spans="1:7" ht="247.75" customHeight="1" x14ac:dyDescent="0.3">
      <c r="A39" s="156" t="s">
        <v>461</v>
      </c>
      <c r="B39" s="156" t="s">
        <v>460</v>
      </c>
      <c r="C39" s="274" t="s">
        <v>459</v>
      </c>
      <c r="D39" s="274"/>
      <c r="E39" s="274"/>
    </row>
    <row r="40" spans="1:7" ht="19" x14ac:dyDescent="0.4">
      <c r="A40" s="194" t="s">
        <v>220</v>
      </c>
      <c r="B40" s="194"/>
      <c r="C40" s="194"/>
      <c r="D40" s="117"/>
      <c r="E40" s="117"/>
    </row>
    <row r="41" spans="1:7" s="49" customFormat="1" ht="30" customHeight="1" x14ac:dyDescent="0.3">
      <c r="A41" s="186" t="s">
        <v>225</v>
      </c>
      <c r="B41" s="186"/>
      <c r="C41" s="186"/>
      <c r="D41" s="186"/>
      <c r="E41" s="186"/>
      <c r="F41" s="186"/>
      <c r="G41" s="186"/>
    </row>
    <row r="42" spans="1:7" ht="15.5" x14ac:dyDescent="0.3">
      <c r="A42" s="118" t="s">
        <v>4</v>
      </c>
      <c r="B42" s="119" t="s">
        <v>222</v>
      </c>
      <c r="C42" s="119" t="s">
        <v>223</v>
      </c>
      <c r="D42" s="195" t="s">
        <v>224</v>
      </c>
      <c r="E42" s="196"/>
    </row>
    <row r="43" spans="1:7" ht="170.5" x14ac:dyDescent="0.3">
      <c r="A43" s="51" t="s">
        <v>226</v>
      </c>
      <c r="B43" s="52"/>
      <c r="C43" s="52"/>
      <c r="D43" s="197"/>
      <c r="E43" s="198"/>
    </row>
    <row r="44" spans="1:7" ht="140" thickBot="1" x14ac:dyDescent="0.35">
      <c r="A44" s="54" t="s">
        <v>221</v>
      </c>
      <c r="B44" s="55"/>
      <c r="C44" s="55"/>
      <c r="D44" s="189"/>
      <c r="E44" s="190"/>
    </row>
    <row r="45" spans="1:7" ht="15.5" x14ac:dyDescent="0.3">
      <c r="A45" s="116"/>
      <c r="B45" s="116"/>
      <c r="C45" s="117"/>
      <c r="D45" s="117"/>
      <c r="E45" s="117"/>
    </row>
    <row r="46" spans="1:7" s="49" customFormat="1" ht="40.5" customHeight="1" thickBot="1" x14ac:dyDescent="0.35">
      <c r="A46" s="186" t="s">
        <v>227</v>
      </c>
      <c r="B46" s="186"/>
      <c r="C46" s="186"/>
      <c r="D46" s="186"/>
      <c r="E46" s="186"/>
      <c r="F46" s="186"/>
      <c r="G46" s="186"/>
    </row>
    <row r="47" spans="1:7" ht="15.5" x14ac:dyDescent="0.3">
      <c r="A47" s="64" t="s">
        <v>4</v>
      </c>
      <c r="B47" s="65" t="s">
        <v>222</v>
      </c>
      <c r="C47" s="65" t="s">
        <v>223</v>
      </c>
      <c r="D47" s="187" t="s">
        <v>224</v>
      </c>
      <c r="E47" s="188"/>
    </row>
    <row r="48" spans="1:7" ht="140" thickBot="1" x14ac:dyDescent="0.35">
      <c r="A48" s="54" t="s">
        <v>228</v>
      </c>
      <c r="B48" s="55"/>
      <c r="C48" s="55"/>
      <c r="D48" s="189"/>
      <c r="E48" s="190"/>
    </row>
    <row r="49" spans="1:21" ht="15.5" x14ac:dyDescent="0.3">
      <c r="A49" s="116"/>
      <c r="B49" s="116"/>
      <c r="C49" s="117"/>
      <c r="D49" s="117"/>
      <c r="E49" s="117"/>
    </row>
    <row r="51" spans="1:21" ht="19" x14ac:dyDescent="0.4">
      <c r="A51" s="194" t="s">
        <v>101</v>
      </c>
      <c r="B51" s="194"/>
      <c r="C51" s="194"/>
    </row>
    <row r="52" spans="1:21" s="123" customFormat="1" ht="131.25" customHeight="1" x14ac:dyDescent="0.25">
      <c r="A52" s="114" t="s">
        <v>102</v>
      </c>
      <c r="B52" s="114" t="s">
        <v>103</v>
      </c>
      <c r="C52" s="114" t="s">
        <v>104</v>
      </c>
      <c r="D52" s="114" t="s">
        <v>105</v>
      </c>
      <c r="E52" s="114" t="s">
        <v>106</v>
      </c>
      <c r="F52" s="114" t="s">
        <v>107</v>
      </c>
      <c r="G52" s="114" t="s">
        <v>108</v>
      </c>
      <c r="H52" s="114" t="s">
        <v>109</v>
      </c>
      <c r="I52" s="120" t="s">
        <v>110</v>
      </c>
      <c r="J52" s="121" t="s">
        <v>111</v>
      </c>
      <c r="K52" s="114" t="s">
        <v>112</v>
      </c>
      <c r="L52" s="114" t="s">
        <v>113</v>
      </c>
      <c r="M52" s="120" t="s">
        <v>114</v>
      </c>
      <c r="N52" s="121" t="s">
        <v>115</v>
      </c>
      <c r="O52" s="114" t="s">
        <v>91</v>
      </c>
      <c r="P52" s="122" t="s">
        <v>116</v>
      </c>
      <c r="Q52" s="114" t="s">
        <v>117</v>
      </c>
      <c r="R52" s="114" t="s">
        <v>218</v>
      </c>
      <c r="S52" s="114" t="s">
        <v>76</v>
      </c>
      <c r="T52" s="114" t="s">
        <v>118</v>
      </c>
      <c r="U52" s="114" t="s">
        <v>119</v>
      </c>
    </row>
    <row r="53" spans="1:21" x14ac:dyDescent="0.3">
      <c r="D53" s="70" t="s">
        <v>120</v>
      </c>
      <c r="E53" s="70" t="s">
        <v>121</v>
      </c>
      <c r="F53" s="48" t="str">
        <f>C18</f>
        <v>FULL</v>
      </c>
      <c r="H53" s="71" t="str">
        <f>C5</f>
        <v>Gtest Branch: https://github-vni.geo.conti.de/cds/sw.pkg.em_psm/commit/61279f3d30864cedd0e638fd7d622fd7846b1cc6</v>
      </c>
      <c r="I53" s="71" t="str">
        <f>Tester</f>
        <v>Akshat Kumar</v>
      </c>
      <c r="J53" s="94"/>
      <c r="K53" s="94"/>
      <c r="L53" s="94"/>
      <c r="M53" s="94">
        <f>TestDate</f>
        <v>45540</v>
      </c>
      <c r="N53" s="70" t="s">
        <v>189</v>
      </c>
      <c r="O53" s="71" t="str">
        <f>TestResult</f>
        <v>Passed</v>
      </c>
      <c r="P53" s="71" t="str">
        <f>C23</f>
        <v>1.40s</v>
      </c>
      <c r="Q53" s="71">
        <f>$C$24</f>
        <v>88</v>
      </c>
      <c r="R53" s="71">
        <f>$C$25</f>
        <v>0</v>
      </c>
      <c r="S53" s="71">
        <f>$C$26</f>
        <v>0</v>
      </c>
      <c r="T53" s="71">
        <f>$D$28</f>
        <v>0.99</v>
      </c>
    </row>
  </sheetData>
  <mergeCells count="69">
    <mergeCell ref="D47:E47"/>
    <mergeCell ref="D48:E48"/>
    <mergeCell ref="A51:C51"/>
    <mergeCell ref="C39:E39"/>
    <mergeCell ref="A40:C40"/>
    <mergeCell ref="A41:G41"/>
    <mergeCell ref="D42:E42"/>
    <mergeCell ref="D43:E43"/>
    <mergeCell ref="D44:E44"/>
    <mergeCell ref="A46:G46"/>
    <mergeCell ref="C33:D33"/>
    <mergeCell ref="C34:D34"/>
    <mergeCell ref="A36:C36"/>
    <mergeCell ref="C37:E37"/>
    <mergeCell ref="C38:E38"/>
    <mergeCell ref="C32:D32"/>
    <mergeCell ref="A25:B25"/>
    <mergeCell ref="C25:E25"/>
    <mergeCell ref="A26:B26"/>
    <mergeCell ref="C26:E26"/>
    <mergeCell ref="A27:B27"/>
    <mergeCell ref="C27:E27"/>
    <mergeCell ref="A28:B28"/>
    <mergeCell ref="D28:E28"/>
    <mergeCell ref="A29:B29"/>
    <mergeCell ref="C29:E29"/>
    <mergeCell ref="C31:D31"/>
    <mergeCell ref="A22:B22"/>
    <mergeCell ref="C22:E22"/>
    <mergeCell ref="A23:B23"/>
    <mergeCell ref="D23:E23"/>
    <mergeCell ref="A24:B24"/>
    <mergeCell ref="C24:E24"/>
    <mergeCell ref="A19:B19"/>
    <mergeCell ref="C19:E19"/>
    <mergeCell ref="A20:B20"/>
    <mergeCell ref="C20:E20"/>
    <mergeCell ref="A21:B21"/>
    <mergeCell ref="C21:E21"/>
    <mergeCell ref="A14:B14"/>
    <mergeCell ref="C14:E14"/>
    <mergeCell ref="A15:B15"/>
    <mergeCell ref="C15:E15"/>
    <mergeCell ref="A18:B18"/>
    <mergeCell ref="C18:E18"/>
    <mergeCell ref="A11:B11"/>
    <mergeCell ref="C11:E11"/>
    <mergeCell ref="A12:B12"/>
    <mergeCell ref="C12:E12"/>
    <mergeCell ref="A13:B13"/>
    <mergeCell ref="C13:E13"/>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honeticPr fontId="26" type="noConversion"/>
  <conditionalFormatting sqref="N52:O52">
    <cfRule type="cellIs" dxfId="14" priority="1" stopIfTrue="1" operator="equal">
      <formula>"passed"</formula>
    </cfRule>
    <cfRule type="cellIs" dxfId="13" priority="2" stopIfTrue="1" operator="equal">
      <formula>"cond. acc."</formula>
    </cfRule>
    <cfRule type="cellIs" dxfId="12" priority="3" stopIfTrue="1" operator="equal">
      <formula>"failed"</formula>
    </cfRule>
  </conditionalFormatting>
  <dataValidations count="7">
    <dataValidation type="list" allowBlank="1" showInputMessage="1" showErrorMessage="1" sqref="C21:E21" xr:uid="{C7F46FB2-481D-43EE-8CEA-3F674548BE65}">
      <formula1>TestScope</formula1>
    </dataValidation>
    <dataValidation type="list" allowBlank="1" showInputMessage="1" showErrorMessage="1" sqref="C18:E18" xr:uid="{DFB527AA-12DE-400C-B47E-04D42900D239}">
      <formula1>TypeOfTest</formula1>
    </dataValidation>
    <dataValidation type="list" allowBlank="1" showInputMessage="1" showErrorMessage="1" sqref="F53" xr:uid="{915CB845-4451-4BB7-9AF7-6106C7C77BCF}">
      <formula1>TestTypeTSO</formula1>
    </dataValidation>
    <dataValidation type="list" errorStyle="warning" allowBlank="1" showInputMessage="1" showErrorMessage="1" errorTitle="Bitte Wert aus Liste auswählen!" promptTitle="Bitte Wert aus Liste auswählen!" sqref="E52" xr:uid="{590EBFC4-8DAC-454A-A6EB-DC4C4DFF02C0}">
      <formula1>$E$990:$E$1017</formula1>
    </dataValidation>
    <dataValidation type="list" errorStyle="warning" allowBlank="1" showInputMessage="1" showErrorMessage="1" errorTitle="Bitte Wert aus Liste auswählen!" promptTitle="Bitte Wert aus Liste auswählen!" sqref="F52" xr:uid="{64AFBAE0-9C97-481A-ABE8-0F3239557F92}">
      <formula1>$F$989:$F$992</formula1>
    </dataValidation>
    <dataValidation type="list" errorStyle="warning" allowBlank="1" showInputMessage="1" showErrorMessage="1" errorTitle="Bitte aus der Liste auswählen!" promptTitle="Bitte aus der Liste auswählen!" sqref="N52" xr:uid="{C9480DD7-243B-49E9-8C4D-5FF49D892AC9}">
      <formula1>#REF!</formula1>
    </dataValidation>
    <dataValidation type="list" allowBlank="1" showInputMessage="1" showErrorMessage="1" sqref="C27:E27" xr:uid="{9455EACA-EE90-4266-9200-1ADE54B02E6A}">
      <formula1>result_list</formula1>
    </dataValidation>
  </dataValidations>
  <hyperlinks>
    <hyperlink ref="C5:E5" r:id="rId1" display="Gtest Branch: https://github-vni.geo.conti.de/cds/sw.pkg.em_psm/commit/e1d915b3169eefeefd2540b0cd431fd5a8fa0c85" xr:uid="{8191664E-78A3-4646-8417-973AD55B3DCF}"/>
    <hyperlink ref="C6:E6" r:id="rId2" display="e1d915b3169eefeefd2540b0cd431fd5a8fa0c86" xr:uid="{8F233479-788C-48A8-A296-22C0A9998613}"/>
  </hyperlinks>
  <pageMargins left="0.78740157480314965" right="0.19685039370078741" top="0.98425196850393704" bottom="0.98425196850393704" header="0.51181102362204722" footer="0.51181102362204722"/>
  <pageSetup paperSize="9" scale="90" orientation="portrait" r:id="rId3"/>
  <headerFooter alignWithMargins="0">
    <oddFooter>&amp;C_x000D_&amp;1#&amp;"Arial"&amp;8&amp;K000000 Internal</oddFooter>
  </headerFooter>
  <rowBreaks count="2" manualBreakCount="2">
    <brk id="16" max="16383" man="1"/>
    <brk id="29" max="16383" man="1"/>
  </rowBreaks>
  <drawing r:id="rId4"/>
  <legacyDrawing r:id="rId5"/>
  <oleObjects>
    <mc:AlternateContent xmlns:mc="http://schemas.openxmlformats.org/markup-compatibility/2006">
      <mc:Choice Requires="x14">
        <oleObject progId="Packager Shell Object" dvAspect="DVASPECT_ICON" shapeId="3" r:id="rId6">
          <objectPr locked="0" defaultSize="0" autoPict="0" r:id="rId7">
            <anchor moveWithCells="1" sizeWithCells="1">
              <from>
                <xdr:col>6</xdr:col>
                <xdr:colOff>12700</xdr:colOff>
                <xdr:row>5</xdr:row>
                <xdr:rowOff>31750</xdr:rowOff>
              </from>
              <to>
                <xdr:col>8</xdr:col>
                <xdr:colOff>850900</xdr:colOff>
                <xdr:row>6</xdr:row>
                <xdr:rowOff>603250</xdr:rowOff>
              </to>
            </anchor>
          </objectPr>
        </oleObject>
      </mc:Choice>
      <mc:Fallback>
        <oleObject progId="Packager Shell Object" dvAspect="DVASPECT_ICON" shapeId="71702" r:id="rId6"/>
      </mc:Fallback>
    </mc:AlternateContent>
    <mc:AlternateContent xmlns:mc="http://schemas.openxmlformats.org/markup-compatibility/2006">
      <mc:Choice Requires="x14">
        <oleObject progId="Packager Shell Object" dvAspect="DVASPECT_ICON" shapeId="71703" r:id="rId8">
          <objectPr locked="0" defaultSize="0" autoPict="0" r:id="rId9">
            <anchor moveWithCells="1" sizeWithCells="1">
              <from>
                <xdr:col>6</xdr:col>
                <xdr:colOff>12700</xdr:colOff>
                <xdr:row>4</xdr:row>
                <xdr:rowOff>558800</xdr:rowOff>
              </from>
              <to>
                <xdr:col>7</xdr:col>
                <xdr:colOff>12700</xdr:colOff>
                <xdr:row>4</xdr:row>
                <xdr:rowOff>1289050</xdr:rowOff>
              </to>
            </anchor>
          </objectPr>
        </oleObject>
      </mc:Choice>
      <mc:Fallback>
        <oleObject progId="Packager Shell Object" dvAspect="DVASPECT_ICON" shapeId="71703" r:id="rId8"/>
      </mc:Fallback>
    </mc:AlternateContent>
  </oleObjects>
  <controls>
    <mc:AlternateContent xmlns:mc="http://schemas.openxmlformats.org/markup-compatibility/2006">
      <mc:Choice Requires="x14">
        <control shapeId="71681" r:id="rId10" name="CommandButton1">
          <controlPr defaultSize="0" autoLine="0" r:id="rId11">
            <anchor moveWithCells="1">
              <from>
                <xdr:col>5</xdr:col>
                <xdr:colOff>406400</xdr:colOff>
                <xdr:row>1</xdr:row>
                <xdr:rowOff>76200</xdr:rowOff>
              </from>
              <to>
                <xdr:col>8</xdr:col>
                <xdr:colOff>565150</xdr:colOff>
                <xdr:row>3</xdr:row>
                <xdr:rowOff>152400</xdr:rowOff>
              </to>
            </anchor>
          </controlPr>
        </control>
      </mc:Choice>
      <mc:Fallback>
        <control shapeId="71681" r:id="rId10"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7F3CE-6B08-4E94-B5B6-B68471E99480}">
  <sheetPr codeName="Tabelle17">
    <tabColor indexed="44"/>
  </sheetPr>
  <dimension ref="A1:U53"/>
  <sheetViews>
    <sheetView zoomScale="81" zoomScaleNormal="81" workbookViewId="0"/>
  </sheetViews>
  <sheetFormatPr defaultColWidth="12.54296875" defaultRowHeight="14" x14ac:dyDescent="0.3"/>
  <cols>
    <col min="1" max="2" width="17.90625" style="48" customWidth="1"/>
    <col min="3" max="3" width="17.54296875" style="48" customWidth="1"/>
    <col min="4" max="4" width="27" style="49" customWidth="1"/>
    <col min="5" max="5" width="71.54296875" style="48" customWidth="1"/>
    <col min="6" max="6" width="12" style="48" customWidth="1"/>
    <col min="7" max="7" width="14.1796875" style="48" customWidth="1"/>
    <col min="8" max="16384" width="12.54296875" style="48"/>
  </cols>
  <sheetData>
    <row r="1" spans="1:5" ht="19" x14ac:dyDescent="0.4">
      <c r="A1" s="67" t="s">
        <v>56</v>
      </c>
      <c r="B1" s="67"/>
      <c r="C1" s="68"/>
      <c r="D1" s="68"/>
      <c r="E1" s="68"/>
    </row>
    <row r="2" spans="1:5" ht="25.5" customHeight="1" x14ac:dyDescent="0.3">
      <c r="A2" s="217" t="s">
        <v>94</v>
      </c>
      <c r="B2" s="218"/>
      <c r="C2" s="256" t="str">
        <f ca="1">MID(CELL("filename",$C$2),FIND("[",CELL("filename",$C$2))+1,FIND("]",CELL("filename",$C$2))-FIND("[",CELL("filename",$C$2))-1)</f>
        <v>PSM1TS.xlsm</v>
      </c>
      <c r="D2" s="256"/>
      <c r="E2" s="257"/>
    </row>
    <row r="3" spans="1:5" ht="20.149999999999999" customHeight="1" x14ac:dyDescent="0.3">
      <c r="A3" s="217" t="s">
        <v>95</v>
      </c>
      <c r="B3" s="218"/>
      <c r="C3" s="258">
        <v>1.4</v>
      </c>
      <c r="D3" s="258"/>
      <c r="E3" s="259"/>
    </row>
    <row r="4" spans="1:5" ht="20.149999999999999" customHeight="1" x14ac:dyDescent="0.3">
      <c r="A4" s="217" t="s">
        <v>96</v>
      </c>
      <c r="B4" s="218"/>
      <c r="C4" s="258" t="s">
        <v>423</v>
      </c>
      <c r="D4" s="258"/>
      <c r="E4" s="259"/>
    </row>
    <row r="5" spans="1:5" ht="138.65" customHeight="1" x14ac:dyDescent="0.3">
      <c r="A5" s="217" t="s">
        <v>97</v>
      </c>
      <c r="B5" s="218"/>
      <c r="C5" s="271" t="s">
        <v>503</v>
      </c>
      <c r="D5" s="272"/>
      <c r="E5" s="273"/>
    </row>
    <row r="6" spans="1:5" ht="39.9" customHeight="1" x14ac:dyDescent="0.3">
      <c r="A6" s="217" t="s">
        <v>57</v>
      </c>
      <c r="B6" s="218"/>
      <c r="C6" s="271" t="s">
        <v>504</v>
      </c>
      <c r="D6" s="272"/>
      <c r="E6" s="273"/>
    </row>
    <row r="7" spans="1:5" ht="48.75" customHeight="1" x14ac:dyDescent="0.3">
      <c r="A7" s="217" t="s">
        <v>211</v>
      </c>
      <c r="B7" s="218"/>
      <c r="C7" s="239" t="s">
        <v>235</v>
      </c>
      <c r="D7" s="239"/>
      <c r="E7" s="240"/>
    </row>
    <row r="8" spans="1:5" ht="39.9" customHeight="1" x14ac:dyDescent="0.3">
      <c r="A8" s="217" t="s">
        <v>58</v>
      </c>
      <c r="B8" s="218"/>
      <c r="C8" s="239" t="s">
        <v>235</v>
      </c>
      <c r="D8" s="239"/>
      <c r="E8" s="240"/>
    </row>
    <row r="9" spans="1:5" ht="20.149999999999999" customHeight="1" x14ac:dyDescent="0.3">
      <c r="A9" s="230" t="s">
        <v>60</v>
      </c>
      <c r="B9" s="231"/>
      <c r="C9" s="247"/>
      <c r="D9" s="247"/>
      <c r="E9" s="248"/>
    </row>
    <row r="10" spans="1:5" ht="20.149999999999999" customHeight="1" x14ac:dyDescent="0.3">
      <c r="A10" s="249" t="s">
        <v>61</v>
      </c>
      <c r="B10" s="250"/>
      <c r="C10" s="251" t="s">
        <v>235</v>
      </c>
      <c r="D10" s="251"/>
      <c r="E10" s="252"/>
    </row>
    <row r="11" spans="1:5" ht="39.9" customHeight="1" x14ac:dyDescent="0.3">
      <c r="A11" s="217" t="s">
        <v>63</v>
      </c>
      <c r="B11" s="218"/>
      <c r="C11" s="239" t="s">
        <v>235</v>
      </c>
      <c r="D11" s="239"/>
      <c r="E11" s="240"/>
    </row>
    <row r="12" spans="1:5" ht="39.9" customHeight="1" x14ac:dyDescent="0.3">
      <c r="A12" s="217" t="s">
        <v>65</v>
      </c>
      <c r="B12" s="218"/>
      <c r="C12" s="239" t="s">
        <v>235</v>
      </c>
      <c r="D12" s="239"/>
      <c r="E12" s="240"/>
    </row>
    <row r="13" spans="1:5" ht="39.9" customHeight="1" x14ac:dyDescent="0.3">
      <c r="A13" s="217" t="s">
        <v>67</v>
      </c>
      <c r="B13" s="218"/>
      <c r="C13" s="239" t="s">
        <v>235</v>
      </c>
      <c r="D13" s="239"/>
      <c r="E13" s="240"/>
    </row>
    <row r="14" spans="1:5" ht="39.9" customHeight="1" x14ac:dyDescent="0.3">
      <c r="A14" s="217" t="s">
        <v>69</v>
      </c>
      <c r="B14" s="218"/>
      <c r="C14" s="239" t="s">
        <v>235</v>
      </c>
      <c r="D14" s="239"/>
      <c r="E14" s="240"/>
    </row>
    <row r="15" spans="1:5" ht="39.9" customHeight="1" thickBot="1" x14ac:dyDescent="0.35">
      <c r="A15" s="201" t="s">
        <v>213</v>
      </c>
      <c r="B15" s="202"/>
      <c r="C15" s="241" t="s">
        <v>235</v>
      </c>
      <c r="D15" s="241"/>
      <c r="E15" s="242"/>
    </row>
    <row r="16" spans="1:5" ht="30" customHeight="1" x14ac:dyDescent="0.3"/>
    <row r="17" spans="1:5" ht="19.5" thickBot="1" x14ac:dyDescent="0.45">
      <c r="A17" s="67" t="s">
        <v>71</v>
      </c>
      <c r="B17" s="67"/>
      <c r="C17" s="68"/>
      <c r="D17" s="68"/>
      <c r="E17" s="68"/>
    </row>
    <row r="18" spans="1:5" ht="39.9" customHeight="1" x14ac:dyDescent="0.3">
      <c r="A18" s="243" t="s">
        <v>183</v>
      </c>
      <c r="B18" s="244"/>
      <c r="C18" s="245" t="s">
        <v>179</v>
      </c>
      <c r="D18" s="245"/>
      <c r="E18" s="246"/>
    </row>
    <row r="19" spans="1:5" ht="20.149999999999999" customHeight="1" x14ac:dyDescent="0.3">
      <c r="A19" s="230" t="s">
        <v>100</v>
      </c>
      <c r="B19" s="231"/>
      <c r="C19" s="232" t="s">
        <v>270</v>
      </c>
      <c r="D19" s="232"/>
      <c r="E19" s="233"/>
    </row>
    <row r="20" spans="1:5" ht="39.9" customHeight="1" x14ac:dyDescent="0.3">
      <c r="A20" s="217" t="s">
        <v>73</v>
      </c>
      <c r="B20" s="218"/>
      <c r="C20" s="266">
        <v>45555</v>
      </c>
      <c r="D20" s="266"/>
      <c r="E20" s="267"/>
    </row>
    <row r="21" spans="1:5" ht="39.9" customHeight="1" x14ac:dyDescent="0.3">
      <c r="A21" s="217" t="s">
        <v>74</v>
      </c>
      <c r="B21" s="218"/>
      <c r="C21" s="236" t="s">
        <v>45</v>
      </c>
      <c r="D21" s="237"/>
      <c r="E21" s="238"/>
    </row>
    <row r="22" spans="1:5" ht="39.9" customHeight="1" x14ac:dyDescent="0.3">
      <c r="A22" s="217" t="s">
        <v>185</v>
      </c>
      <c r="B22" s="218"/>
      <c r="C22" s="226" t="s">
        <v>457</v>
      </c>
      <c r="D22" s="226"/>
      <c r="E22" s="227"/>
    </row>
    <row r="23" spans="1:5" ht="20.149999999999999" customHeight="1" x14ac:dyDescent="0.3">
      <c r="A23" s="217" t="s">
        <v>75</v>
      </c>
      <c r="B23" s="218"/>
      <c r="C23" s="157" t="s">
        <v>458</v>
      </c>
      <c r="D23" s="228" t="s">
        <v>98</v>
      </c>
      <c r="E23" s="229"/>
    </row>
    <row r="24" spans="1:5" ht="39.9" customHeight="1" x14ac:dyDescent="0.3">
      <c r="A24" s="217" t="s">
        <v>122</v>
      </c>
      <c r="B24" s="218"/>
      <c r="C24" s="219">
        <v>98</v>
      </c>
      <c r="D24" s="219"/>
      <c r="E24" s="220"/>
    </row>
    <row r="25" spans="1:5" ht="39.9" customHeight="1" x14ac:dyDescent="0.3">
      <c r="A25" s="217" t="s">
        <v>218</v>
      </c>
      <c r="B25" s="218"/>
      <c r="C25" s="219">
        <v>2</v>
      </c>
      <c r="D25" s="219"/>
      <c r="E25" s="220"/>
    </row>
    <row r="26" spans="1:5" ht="39.9" customHeight="1" x14ac:dyDescent="0.3">
      <c r="A26" s="217" t="s">
        <v>76</v>
      </c>
      <c r="B26" s="218"/>
      <c r="C26" s="219">
        <v>0</v>
      </c>
      <c r="D26" s="219"/>
      <c r="E26" s="220"/>
    </row>
    <row r="27" spans="1:5" ht="39.9" customHeight="1" x14ac:dyDescent="0.3">
      <c r="A27" s="221" t="s">
        <v>77</v>
      </c>
      <c r="B27" s="222"/>
      <c r="C27" s="223" t="s">
        <v>237</v>
      </c>
      <c r="D27" s="224"/>
      <c r="E27" s="225"/>
    </row>
    <row r="28" spans="1:5" ht="39.9" customHeight="1" thickBot="1" x14ac:dyDescent="0.35">
      <c r="A28" s="201" t="s">
        <v>78</v>
      </c>
      <c r="B28" s="202"/>
      <c r="C28" s="63" t="s">
        <v>93</v>
      </c>
      <c r="D28" s="270">
        <v>0.99</v>
      </c>
      <c r="E28" s="204"/>
    </row>
    <row r="29" spans="1:5" ht="69.75" customHeight="1" thickBot="1" x14ac:dyDescent="0.35">
      <c r="A29" s="205" t="s">
        <v>210</v>
      </c>
      <c r="B29" s="206"/>
      <c r="C29" s="207" t="s">
        <v>235</v>
      </c>
      <c r="D29" s="207"/>
      <c r="E29" s="208"/>
    </row>
    <row r="30" spans="1:5" ht="54" customHeight="1" thickBot="1" x14ac:dyDescent="0.45">
      <c r="A30" s="47" t="s">
        <v>79</v>
      </c>
      <c r="B30" s="50"/>
    </row>
    <row r="31" spans="1:5" ht="15.5" x14ac:dyDescent="0.3">
      <c r="A31" s="64" t="s">
        <v>45</v>
      </c>
      <c r="B31" s="65" t="s">
        <v>123</v>
      </c>
      <c r="C31" s="209" t="s">
        <v>80</v>
      </c>
      <c r="D31" s="210"/>
      <c r="E31" s="66" t="s">
        <v>219</v>
      </c>
    </row>
    <row r="32" spans="1:5" ht="15.5" x14ac:dyDescent="0.3">
      <c r="A32" s="51"/>
      <c r="B32" s="52"/>
      <c r="C32" s="211"/>
      <c r="D32" s="212"/>
      <c r="E32" s="53"/>
    </row>
    <row r="33" spans="1:7" ht="15.5" x14ac:dyDescent="0.3">
      <c r="A33" s="51"/>
      <c r="B33" s="52"/>
      <c r="C33" s="197"/>
      <c r="D33" s="213"/>
      <c r="E33" s="53"/>
    </row>
    <row r="34" spans="1:7" ht="16" thickBot="1" x14ac:dyDescent="0.35">
      <c r="A34" s="54"/>
      <c r="B34" s="55"/>
      <c r="C34" s="189"/>
      <c r="D34" s="214"/>
      <c r="E34" s="56"/>
    </row>
    <row r="35" spans="1:7" ht="30" customHeight="1" x14ac:dyDescent="0.3"/>
    <row r="36" spans="1:7" ht="19.5" thickBot="1" x14ac:dyDescent="0.45">
      <c r="A36" s="194" t="s">
        <v>81</v>
      </c>
      <c r="B36" s="194"/>
      <c r="C36" s="194"/>
    </row>
    <row r="37" spans="1:7" ht="31" x14ac:dyDescent="0.3">
      <c r="A37" s="152" t="s">
        <v>4</v>
      </c>
      <c r="B37" s="153" t="s">
        <v>82</v>
      </c>
      <c r="C37" s="276" t="s">
        <v>9</v>
      </c>
      <c r="D37" s="276"/>
      <c r="E37" s="277"/>
    </row>
    <row r="38" spans="1:7" ht="247.75" customHeight="1" x14ac:dyDescent="0.3">
      <c r="A38" s="158" t="s">
        <v>424</v>
      </c>
      <c r="B38" s="158" t="s">
        <v>425</v>
      </c>
      <c r="C38" s="274" t="s">
        <v>429</v>
      </c>
      <c r="D38" s="274"/>
      <c r="E38" s="274"/>
    </row>
    <row r="39" spans="1:7" ht="247.75" customHeight="1" x14ac:dyDescent="0.3">
      <c r="A39" s="158" t="s">
        <v>461</v>
      </c>
      <c r="B39" s="158" t="s">
        <v>460</v>
      </c>
      <c r="C39" s="274" t="s">
        <v>459</v>
      </c>
      <c r="D39" s="274"/>
      <c r="E39" s="274"/>
    </row>
    <row r="40" spans="1:7" ht="19" x14ac:dyDescent="0.4">
      <c r="A40" s="194" t="s">
        <v>220</v>
      </c>
      <c r="B40" s="194"/>
      <c r="C40" s="194"/>
      <c r="D40" s="117"/>
      <c r="E40" s="117"/>
    </row>
    <row r="41" spans="1:7" s="49" customFormat="1" ht="30" customHeight="1" x14ac:dyDescent="0.3">
      <c r="A41" s="186" t="s">
        <v>225</v>
      </c>
      <c r="B41" s="186"/>
      <c r="C41" s="186"/>
      <c r="D41" s="186"/>
      <c r="E41" s="186"/>
      <c r="F41" s="186"/>
      <c r="G41" s="186"/>
    </row>
    <row r="42" spans="1:7" ht="15.5" x14ac:dyDescent="0.3">
      <c r="A42" s="118" t="s">
        <v>4</v>
      </c>
      <c r="B42" s="119" t="s">
        <v>222</v>
      </c>
      <c r="C42" s="119" t="s">
        <v>223</v>
      </c>
      <c r="D42" s="195" t="s">
        <v>224</v>
      </c>
      <c r="E42" s="196"/>
    </row>
    <row r="43" spans="1:7" ht="170.5" x14ac:dyDescent="0.3">
      <c r="A43" s="51" t="s">
        <v>226</v>
      </c>
      <c r="B43" s="52"/>
      <c r="C43" s="52"/>
      <c r="D43" s="197"/>
      <c r="E43" s="198"/>
    </row>
    <row r="44" spans="1:7" ht="140" thickBot="1" x14ac:dyDescent="0.35">
      <c r="A44" s="54" t="s">
        <v>221</v>
      </c>
      <c r="B44" s="55"/>
      <c r="C44" s="55"/>
      <c r="D44" s="189"/>
      <c r="E44" s="190"/>
    </row>
    <row r="45" spans="1:7" ht="15.5" x14ac:dyDescent="0.3">
      <c r="A45" s="116"/>
      <c r="B45" s="116"/>
      <c r="C45" s="117"/>
      <c r="D45" s="117"/>
      <c r="E45" s="117"/>
    </row>
    <row r="46" spans="1:7" s="49" customFormat="1" ht="40.5" customHeight="1" thickBot="1" x14ac:dyDescent="0.35">
      <c r="A46" s="186" t="s">
        <v>227</v>
      </c>
      <c r="B46" s="186"/>
      <c r="C46" s="186"/>
      <c r="D46" s="186"/>
      <c r="E46" s="186"/>
      <c r="F46" s="186"/>
      <c r="G46" s="186"/>
    </row>
    <row r="47" spans="1:7" ht="15.5" x14ac:dyDescent="0.3">
      <c r="A47" s="64" t="s">
        <v>4</v>
      </c>
      <c r="B47" s="65" t="s">
        <v>222</v>
      </c>
      <c r="C47" s="65" t="s">
        <v>223</v>
      </c>
      <c r="D47" s="187" t="s">
        <v>224</v>
      </c>
      <c r="E47" s="188"/>
    </row>
    <row r="48" spans="1:7" ht="140" thickBot="1" x14ac:dyDescent="0.35">
      <c r="A48" s="54" t="s">
        <v>228</v>
      </c>
      <c r="B48" s="55"/>
      <c r="C48" s="55"/>
      <c r="D48" s="189"/>
      <c r="E48" s="190"/>
    </row>
    <row r="49" spans="1:21" ht="15.5" x14ac:dyDescent="0.3">
      <c r="A49" s="116"/>
      <c r="B49" s="116"/>
      <c r="C49" s="117"/>
      <c r="D49" s="117"/>
      <c r="E49" s="117"/>
    </row>
    <row r="51" spans="1:21" ht="19" x14ac:dyDescent="0.4">
      <c r="A51" s="194" t="s">
        <v>101</v>
      </c>
      <c r="B51" s="194"/>
      <c r="C51" s="194"/>
    </row>
    <row r="52" spans="1:21" s="123" customFormat="1" ht="131.25" customHeight="1" x14ac:dyDescent="0.25">
      <c r="A52" s="114" t="s">
        <v>102</v>
      </c>
      <c r="B52" s="114" t="s">
        <v>103</v>
      </c>
      <c r="C52" s="114" t="s">
        <v>104</v>
      </c>
      <c r="D52" s="114" t="s">
        <v>105</v>
      </c>
      <c r="E52" s="114" t="s">
        <v>106</v>
      </c>
      <c r="F52" s="114" t="s">
        <v>107</v>
      </c>
      <c r="G52" s="114" t="s">
        <v>108</v>
      </c>
      <c r="H52" s="114" t="s">
        <v>109</v>
      </c>
      <c r="I52" s="120" t="s">
        <v>110</v>
      </c>
      <c r="J52" s="121" t="s">
        <v>111</v>
      </c>
      <c r="K52" s="114" t="s">
        <v>112</v>
      </c>
      <c r="L52" s="114" t="s">
        <v>113</v>
      </c>
      <c r="M52" s="120" t="s">
        <v>114</v>
      </c>
      <c r="N52" s="121" t="s">
        <v>115</v>
      </c>
      <c r="O52" s="114" t="s">
        <v>91</v>
      </c>
      <c r="P52" s="122" t="s">
        <v>116</v>
      </c>
      <c r="Q52" s="114" t="s">
        <v>117</v>
      </c>
      <c r="R52" s="114" t="s">
        <v>218</v>
      </c>
      <c r="S52" s="114" t="s">
        <v>76</v>
      </c>
      <c r="T52" s="114" t="s">
        <v>118</v>
      </c>
      <c r="U52" s="114" t="s">
        <v>119</v>
      </c>
    </row>
    <row r="53" spans="1:21" x14ac:dyDescent="0.3">
      <c r="D53" s="70" t="s">
        <v>120</v>
      </c>
      <c r="E53" s="70" t="s">
        <v>121</v>
      </c>
      <c r="F53" s="48" t="str">
        <f>C18</f>
        <v>FULL</v>
      </c>
      <c r="H53" s="71" t="str">
        <f>C5</f>
        <v>Gtest Branch: https://github-vni.geo.conti.de/cds/sw.pkg.em_psm/commit/9eb7a1adbea3e908b77cd794ae9edf119d18ecf1</v>
      </c>
      <c r="I53" s="71" t="str">
        <f>Tester</f>
        <v>Akshat Kumar</v>
      </c>
      <c r="J53" s="94"/>
      <c r="K53" s="94"/>
      <c r="L53" s="94"/>
      <c r="M53" s="94">
        <f>TestDate</f>
        <v>45555</v>
      </c>
      <c r="N53" s="70" t="s">
        <v>189</v>
      </c>
      <c r="O53" s="71" t="str">
        <f>TestResult</f>
        <v>Passed</v>
      </c>
      <c r="P53" s="71" t="str">
        <f>C23</f>
        <v>1.40s</v>
      </c>
      <c r="Q53" s="71">
        <f>$C$24</f>
        <v>98</v>
      </c>
      <c r="R53" s="71">
        <f>$C$25</f>
        <v>2</v>
      </c>
      <c r="S53" s="71">
        <f>$C$26</f>
        <v>0</v>
      </c>
      <c r="T53" s="71">
        <f>$D$28</f>
        <v>0.99</v>
      </c>
    </row>
  </sheetData>
  <mergeCells count="69">
    <mergeCell ref="A2:B2"/>
    <mergeCell ref="C2:E2"/>
    <mergeCell ref="A3:B3"/>
    <mergeCell ref="C3:E3"/>
    <mergeCell ref="A4:B4"/>
    <mergeCell ref="C4:E4"/>
    <mergeCell ref="A5:B5"/>
    <mergeCell ref="C5:E5"/>
    <mergeCell ref="A6:B6"/>
    <mergeCell ref="C6:E6"/>
    <mergeCell ref="A7:B7"/>
    <mergeCell ref="C7:E7"/>
    <mergeCell ref="A8:B8"/>
    <mergeCell ref="C8:E8"/>
    <mergeCell ref="A9:B9"/>
    <mergeCell ref="C9:E9"/>
    <mergeCell ref="A10:B10"/>
    <mergeCell ref="C10:E10"/>
    <mergeCell ref="A11:B11"/>
    <mergeCell ref="C11:E11"/>
    <mergeCell ref="A12:B12"/>
    <mergeCell ref="C12:E12"/>
    <mergeCell ref="A13:B13"/>
    <mergeCell ref="C13:E13"/>
    <mergeCell ref="A14:B14"/>
    <mergeCell ref="C14:E14"/>
    <mergeCell ref="A15:B15"/>
    <mergeCell ref="C15:E15"/>
    <mergeCell ref="A18:B18"/>
    <mergeCell ref="C18:E18"/>
    <mergeCell ref="A19:B19"/>
    <mergeCell ref="C19:E19"/>
    <mergeCell ref="A20:B20"/>
    <mergeCell ref="C20:E20"/>
    <mergeCell ref="A21:B21"/>
    <mergeCell ref="C21:E21"/>
    <mergeCell ref="A22:B22"/>
    <mergeCell ref="C22:E22"/>
    <mergeCell ref="A23:B23"/>
    <mergeCell ref="D23:E23"/>
    <mergeCell ref="A24:B24"/>
    <mergeCell ref="C24:E24"/>
    <mergeCell ref="A25:B25"/>
    <mergeCell ref="C25:E25"/>
    <mergeCell ref="A26:B26"/>
    <mergeCell ref="C26:E26"/>
    <mergeCell ref="A27:B27"/>
    <mergeCell ref="C27:E27"/>
    <mergeCell ref="C39:E39"/>
    <mergeCell ref="A28:B28"/>
    <mergeCell ref="D28:E28"/>
    <mergeCell ref="A29:B29"/>
    <mergeCell ref="C29:E29"/>
    <mergeCell ref="C31:D31"/>
    <mergeCell ref="C32:D32"/>
    <mergeCell ref="C33:D33"/>
    <mergeCell ref="C34:D34"/>
    <mergeCell ref="A36:C36"/>
    <mergeCell ref="C37:E37"/>
    <mergeCell ref="C38:E38"/>
    <mergeCell ref="D47:E47"/>
    <mergeCell ref="D48:E48"/>
    <mergeCell ref="A51:C51"/>
    <mergeCell ref="A40:C40"/>
    <mergeCell ref="A41:G41"/>
    <mergeCell ref="D42:E42"/>
    <mergeCell ref="D43:E43"/>
    <mergeCell ref="D44:E44"/>
    <mergeCell ref="A46:G46"/>
  </mergeCells>
  <conditionalFormatting sqref="N52:O52">
    <cfRule type="cellIs" dxfId="11" priority="1" stopIfTrue="1" operator="equal">
      <formula>"passed"</formula>
    </cfRule>
    <cfRule type="cellIs" dxfId="10" priority="2" stopIfTrue="1" operator="equal">
      <formula>"cond. acc."</formula>
    </cfRule>
    <cfRule type="cellIs" dxfId="9" priority="3" stopIfTrue="1" operator="equal">
      <formula>"failed"</formula>
    </cfRule>
  </conditionalFormatting>
  <dataValidations count="7">
    <dataValidation type="list" allowBlank="1" showInputMessage="1" showErrorMessage="1" sqref="C27:E27" xr:uid="{75AC4E8E-3DC5-4DA1-A01D-35A7B0899B50}">
      <formula1>result_list</formula1>
    </dataValidation>
    <dataValidation type="list" errorStyle="warning" allowBlank="1" showInputMessage="1" showErrorMessage="1" errorTitle="Bitte aus der Liste auswählen!" promptTitle="Bitte aus der Liste auswählen!" sqref="N52" xr:uid="{19681C65-B182-48FB-B2AF-73A534BFB8D0}">
      <formula1>#REF!</formula1>
    </dataValidation>
    <dataValidation type="list" errorStyle="warning" allowBlank="1" showInputMessage="1" showErrorMessage="1" errorTitle="Bitte Wert aus Liste auswählen!" promptTitle="Bitte Wert aus Liste auswählen!" sqref="F52" xr:uid="{A05EAB20-5ACE-4FC0-9CB0-3CCB214F366B}">
      <formula1>$F$989:$F$992</formula1>
    </dataValidation>
    <dataValidation type="list" errorStyle="warning" allowBlank="1" showInputMessage="1" showErrorMessage="1" errorTitle="Bitte Wert aus Liste auswählen!" promptTitle="Bitte Wert aus Liste auswählen!" sqref="E52" xr:uid="{B3916A3C-A704-4440-97B5-4E380BEF4FD9}">
      <formula1>$E$990:$E$1017</formula1>
    </dataValidation>
    <dataValidation type="list" allowBlank="1" showInputMessage="1" showErrorMessage="1" sqref="F53" xr:uid="{50F408BD-40B3-489A-93CF-2FF6F89BD910}">
      <formula1>TestTypeTSO</formula1>
    </dataValidation>
    <dataValidation type="list" allowBlank="1" showInputMessage="1" showErrorMessage="1" sqref="C18:E18" xr:uid="{42231EF2-8D48-4DEE-B04B-47E3A93DE662}">
      <formula1>TypeOfTest</formula1>
    </dataValidation>
    <dataValidation type="list" allowBlank="1" showInputMessage="1" showErrorMessage="1" sqref="C21:E21" xr:uid="{67FAA5D1-D534-43D3-B742-FBE252B62D13}">
      <formula1>TestScope</formula1>
    </dataValidation>
  </dataValidations>
  <hyperlinks>
    <hyperlink ref="C5:E5" r:id="rId1" display="Gtest Branch: https://github-vni.geo.conti.de/cds/sw.pkg.em_psm/commit/e1d915b3169eefeefd2540b0cd431fd5a8fa0c85" xr:uid="{6DFBD548-0480-4E40-9C67-78DF3A96E5CA}"/>
    <hyperlink ref="C6:E6" r:id="rId2" display="e1d915b3169eefeefd2540b0cd431fd5a8fa0c86" xr:uid="{CC15FE56-F574-4BA3-8BB0-BAFC4218AEBF}"/>
  </hyperlinks>
  <pageMargins left="0.78740157480314965" right="0.19685039370078741" top="0.98425196850393704" bottom="0.98425196850393704" header="0.51181102362204722" footer="0.51181102362204722"/>
  <pageSetup paperSize="9" scale="90" orientation="portrait" r:id="rId3"/>
  <headerFooter alignWithMargins="0">
    <oddFooter>&amp;C_x000D_&amp;1#&amp;"Arial"&amp;8&amp;K000000 Internal</oddFooter>
  </headerFooter>
  <rowBreaks count="2" manualBreakCount="2">
    <brk id="16" max="16383" man="1"/>
    <brk id="29" max="16383" man="1"/>
  </rowBreaks>
  <drawing r:id="rId4"/>
  <legacyDrawing r:id="rId5"/>
  <oleObjects>
    <mc:AlternateContent xmlns:mc="http://schemas.openxmlformats.org/markup-compatibility/2006">
      <mc:Choice Requires="x14">
        <oleObject progId="Packager Shell Object" dvAspect="DVASPECT_ICON" shapeId="77846" r:id="rId6">
          <objectPr locked="0" defaultSize="0" autoPict="0" r:id="rId7">
            <anchor moveWithCells="1" sizeWithCells="1">
              <from>
                <xdr:col>5</xdr:col>
                <xdr:colOff>812800</xdr:colOff>
                <xdr:row>4</xdr:row>
                <xdr:rowOff>6350</xdr:rowOff>
              </from>
              <to>
                <xdr:col>7</xdr:col>
                <xdr:colOff>0</xdr:colOff>
                <xdr:row>4</xdr:row>
                <xdr:rowOff>793750</xdr:rowOff>
              </to>
            </anchor>
          </objectPr>
        </oleObject>
      </mc:Choice>
      <mc:Fallback>
        <oleObject progId="Packager Shell Object" dvAspect="DVASPECT_ICON" shapeId="77846" r:id="rId6"/>
      </mc:Fallback>
    </mc:AlternateContent>
    <mc:AlternateContent xmlns:mc="http://schemas.openxmlformats.org/markup-compatibility/2006">
      <mc:Choice Requires="x14">
        <oleObject progId="Packager Shell Object" dvAspect="DVASPECT_ICON" shapeId="77847" r:id="rId8">
          <objectPr locked="0" defaultSize="0" autoPict="0" r:id="rId9">
            <anchor moveWithCells="1" sizeWithCells="1">
              <from>
                <xdr:col>6</xdr:col>
                <xdr:colOff>0</xdr:colOff>
                <xdr:row>4</xdr:row>
                <xdr:rowOff>1092200</xdr:rowOff>
              </from>
              <to>
                <xdr:col>8</xdr:col>
                <xdr:colOff>6350</xdr:colOff>
                <xdr:row>5</xdr:row>
                <xdr:rowOff>12700</xdr:rowOff>
              </to>
            </anchor>
          </objectPr>
        </oleObject>
      </mc:Choice>
      <mc:Fallback>
        <oleObject progId="Packager Shell Object" dvAspect="DVASPECT_ICON" shapeId="77847" r:id="rId8"/>
      </mc:Fallback>
    </mc:AlternateContent>
  </oleObjects>
  <controls>
    <mc:AlternateContent xmlns:mc="http://schemas.openxmlformats.org/markup-compatibility/2006">
      <mc:Choice Requires="x14">
        <control shapeId="77825" r:id="rId10" name="CommandButton1">
          <controlPr defaultSize="0" autoLine="0" r:id="rId11">
            <anchor moveWithCells="1">
              <from>
                <xdr:col>5</xdr:col>
                <xdr:colOff>406400</xdr:colOff>
                <xdr:row>1</xdr:row>
                <xdr:rowOff>76200</xdr:rowOff>
              </from>
              <to>
                <xdr:col>8</xdr:col>
                <xdr:colOff>565150</xdr:colOff>
                <xdr:row>3</xdr:row>
                <xdr:rowOff>152400</xdr:rowOff>
              </to>
            </anchor>
          </controlPr>
        </control>
      </mc:Choice>
      <mc:Fallback>
        <control shapeId="77825" r:id="rId10"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D4E71-8C3E-440A-A011-B0365FDD53E0}">
  <sheetPr codeName="Tabelle19">
    <tabColor indexed="44"/>
  </sheetPr>
  <dimension ref="A1:U53"/>
  <sheetViews>
    <sheetView zoomScale="81" zoomScaleNormal="81" workbookViewId="0"/>
  </sheetViews>
  <sheetFormatPr defaultColWidth="12.54296875" defaultRowHeight="14" x14ac:dyDescent="0.3"/>
  <cols>
    <col min="1" max="2" width="17.90625" style="48" customWidth="1"/>
    <col min="3" max="3" width="17.54296875" style="48" customWidth="1"/>
    <col min="4" max="4" width="27" style="49" customWidth="1"/>
    <col min="5" max="5" width="71.54296875" style="48" customWidth="1"/>
    <col min="6" max="6" width="12" style="48" customWidth="1"/>
    <col min="7" max="7" width="14.1796875" style="48" customWidth="1"/>
    <col min="8" max="16384" width="12.54296875" style="48"/>
  </cols>
  <sheetData>
    <row r="1" spans="1:5" ht="19" x14ac:dyDescent="0.4">
      <c r="A1" s="67" t="s">
        <v>56</v>
      </c>
      <c r="B1" s="67"/>
      <c r="C1" s="68"/>
      <c r="D1" s="68"/>
      <c r="E1" s="68"/>
    </row>
    <row r="2" spans="1:5" ht="25.5" customHeight="1" x14ac:dyDescent="0.3">
      <c r="A2" s="217" t="s">
        <v>94</v>
      </c>
      <c r="B2" s="218"/>
      <c r="C2" s="256" t="str">
        <f ca="1">MID(CELL("filename",$C$2),FIND("[",CELL("filename",$C$2))+1,FIND("]",CELL("filename",$C$2))-FIND("[",CELL("filename",$C$2))-1)</f>
        <v>PSM1TS.xlsm</v>
      </c>
      <c r="D2" s="256"/>
      <c r="E2" s="257"/>
    </row>
    <row r="3" spans="1:5" ht="20.149999999999999" customHeight="1" x14ac:dyDescent="0.3">
      <c r="A3" s="217" t="s">
        <v>95</v>
      </c>
      <c r="B3" s="218"/>
      <c r="C3" s="258">
        <v>1.5</v>
      </c>
      <c r="D3" s="258"/>
      <c r="E3" s="259"/>
    </row>
    <row r="4" spans="1:5" ht="20.149999999999999" customHeight="1" x14ac:dyDescent="0.3">
      <c r="A4" s="217" t="s">
        <v>96</v>
      </c>
      <c r="B4" s="218"/>
      <c r="C4" s="258" t="s">
        <v>423</v>
      </c>
      <c r="D4" s="258"/>
      <c r="E4" s="259"/>
    </row>
    <row r="5" spans="1:5" ht="138.65" customHeight="1" x14ac:dyDescent="0.3">
      <c r="A5" s="217" t="s">
        <v>97</v>
      </c>
      <c r="B5" s="218"/>
      <c r="C5" s="271" t="s">
        <v>507</v>
      </c>
      <c r="D5" s="272"/>
      <c r="E5" s="273"/>
    </row>
    <row r="6" spans="1:5" ht="39.9" customHeight="1" x14ac:dyDescent="0.3">
      <c r="A6" s="217" t="s">
        <v>57</v>
      </c>
      <c r="B6" s="218"/>
      <c r="C6" s="271" t="s">
        <v>508</v>
      </c>
      <c r="D6" s="272"/>
      <c r="E6" s="273"/>
    </row>
    <row r="7" spans="1:5" ht="48.75" customHeight="1" x14ac:dyDescent="0.3">
      <c r="A7" s="217" t="s">
        <v>211</v>
      </c>
      <c r="B7" s="218"/>
      <c r="C7" s="239" t="s">
        <v>235</v>
      </c>
      <c r="D7" s="239"/>
      <c r="E7" s="240"/>
    </row>
    <row r="8" spans="1:5" ht="39.9" customHeight="1" x14ac:dyDescent="0.3">
      <c r="A8" s="217" t="s">
        <v>58</v>
      </c>
      <c r="B8" s="218"/>
      <c r="C8" s="239" t="s">
        <v>235</v>
      </c>
      <c r="D8" s="239"/>
      <c r="E8" s="240"/>
    </row>
    <row r="9" spans="1:5" ht="20.149999999999999" customHeight="1" x14ac:dyDescent="0.3">
      <c r="A9" s="230" t="s">
        <v>60</v>
      </c>
      <c r="B9" s="231"/>
      <c r="C9" s="247"/>
      <c r="D9" s="247"/>
      <c r="E9" s="248"/>
    </row>
    <row r="10" spans="1:5" ht="20.149999999999999" customHeight="1" x14ac:dyDescent="0.3">
      <c r="A10" s="249" t="s">
        <v>61</v>
      </c>
      <c r="B10" s="250"/>
      <c r="C10" s="251" t="s">
        <v>235</v>
      </c>
      <c r="D10" s="251"/>
      <c r="E10" s="252"/>
    </row>
    <row r="11" spans="1:5" ht="39.9" customHeight="1" x14ac:dyDescent="0.3">
      <c r="A11" s="217" t="s">
        <v>63</v>
      </c>
      <c r="B11" s="218"/>
      <c r="C11" s="239" t="s">
        <v>235</v>
      </c>
      <c r="D11" s="239"/>
      <c r="E11" s="240"/>
    </row>
    <row r="12" spans="1:5" ht="39.9" customHeight="1" x14ac:dyDescent="0.3">
      <c r="A12" s="217" t="s">
        <v>65</v>
      </c>
      <c r="B12" s="218"/>
      <c r="C12" s="239" t="s">
        <v>235</v>
      </c>
      <c r="D12" s="239"/>
      <c r="E12" s="240"/>
    </row>
    <row r="13" spans="1:5" ht="39.9" customHeight="1" x14ac:dyDescent="0.3">
      <c r="A13" s="217" t="s">
        <v>67</v>
      </c>
      <c r="B13" s="218"/>
      <c r="C13" s="239" t="s">
        <v>235</v>
      </c>
      <c r="D13" s="239"/>
      <c r="E13" s="240"/>
    </row>
    <row r="14" spans="1:5" ht="39.9" customHeight="1" x14ac:dyDescent="0.3">
      <c r="A14" s="217" t="s">
        <v>69</v>
      </c>
      <c r="B14" s="218"/>
      <c r="C14" s="239" t="s">
        <v>235</v>
      </c>
      <c r="D14" s="239"/>
      <c r="E14" s="240"/>
    </row>
    <row r="15" spans="1:5" ht="39.9" customHeight="1" thickBot="1" x14ac:dyDescent="0.35">
      <c r="A15" s="201" t="s">
        <v>213</v>
      </c>
      <c r="B15" s="202"/>
      <c r="C15" s="241" t="s">
        <v>235</v>
      </c>
      <c r="D15" s="241"/>
      <c r="E15" s="242"/>
    </row>
    <row r="16" spans="1:5" ht="30" customHeight="1" x14ac:dyDescent="0.3"/>
    <row r="17" spans="1:5" ht="19.5" thickBot="1" x14ac:dyDescent="0.45">
      <c r="A17" s="67" t="s">
        <v>71</v>
      </c>
      <c r="B17" s="67"/>
      <c r="C17" s="68"/>
      <c r="D17" s="68"/>
      <c r="E17" s="68"/>
    </row>
    <row r="18" spans="1:5" ht="39.9" customHeight="1" x14ac:dyDescent="0.3">
      <c r="A18" s="243" t="s">
        <v>183</v>
      </c>
      <c r="B18" s="244"/>
      <c r="C18" s="245" t="s">
        <v>179</v>
      </c>
      <c r="D18" s="245"/>
      <c r="E18" s="246"/>
    </row>
    <row r="19" spans="1:5" ht="20.149999999999999" customHeight="1" x14ac:dyDescent="0.3">
      <c r="A19" s="230" t="s">
        <v>100</v>
      </c>
      <c r="B19" s="231"/>
      <c r="C19" s="232" t="s">
        <v>270</v>
      </c>
      <c r="D19" s="232"/>
      <c r="E19" s="233"/>
    </row>
    <row r="20" spans="1:5" ht="39.9" customHeight="1" x14ac:dyDescent="0.3">
      <c r="A20" s="217" t="s">
        <v>73</v>
      </c>
      <c r="B20" s="218"/>
      <c r="C20" s="266">
        <v>45564</v>
      </c>
      <c r="D20" s="266"/>
      <c r="E20" s="267"/>
    </row>
    <row r="21" spans="1:5" ht="39.9" customHeight="1" x14ac:dyDescent="0.3">
      <c r="A21" s="217" t="s">
        <v>74</v>
      </c>
      <c r="B21" s="218"/>
      <c r="C21" s="236" t="s">
        <v>45</v>
      </c>
      <c r="D21" s="237"/>
      <c r="E21" s="238"/>
    </row>
    <row r="22" spans="1:5" ht="39.9" customHeight="1" x14ac:dyDescent="0.3">
      <c r="A22" s="217" t="s">
        <v>185</v>
      </c>
      <c r="B22" s="218"/>
      <c r="C22" s="226" t="s">
        <v>457</v>
      </c>
      <c r="D22" s="226"/>
      <c r="E22" s="227"/>
    </row>
    <row r="23" spans="1:5" ht="20.149999999999999" customHeight="1" x14ac:dyDescent="0.3">
      <c r="A23" s="217" t="s">
        <v>75</v>
      </c>
      <c r="B23" s="218"/>
      <c r="C23" s="163" t="s">
        <v>509</v>
      </c>
      <c r="D23" s="228" t="s">
        <v>98</v>
      </c>
      <c r="E23" s="229"/>
    </row>
    <row r="24" spans="1:5" ht="39.9" customHeight="1" x14ac:dyDescent="0.3">
      <c r="A24" s="217" t="s">
        <v>122</v>
      </c>
      <c r="B24" s="218"/>
      <c r="C24" s="219">
        <v>101</v>
      </c>
      <c r="D24" s="219"/>
      <c r="E24" s="220"/>
    </row>
    <row r="25" spans="1:5" ht="39.9" customHeight="1" x14ac:dyDescent="0.3">
      <c r="A25" s="217" t="s">
        <v>218</v>
      </c>
      <c r="B25" s="218"/>
      <c r="C25" s="219">
        <v>0</v>
      </c>
      <c r="D25" s="219"/>
      <c r="E25" s="220"/>
    </row>
    <row r="26" spans="1:5" ht="39.9" customHeight="1" x14ac:dyDescent="0.3">
      <c r="A26" s="217" t="s">
        <v>76</v>
      </c>
      <c r="B26" s="218"/>
      <c r="C26" s="219">
        <v>0</v>
      </c>
      <c r="D26" s="219"/>
      <c r="E26" s="220"/>
    </row>
    <row r="27" spans="1:5" ht="39.9" customHeight="1" x14ac:dyDescent="0.3">
      <c r="A27" s="221" t="s">
        <v>77</v>
      </c>
      <c r="B27" s="222"/>
      <c r="C27" s="223" t="s">
        <v>237</v>
      </c>
      <c r="D27" s="224"/>
      <c r="E27" s="225"/>
    </row>
    <row r="28" spans="1:5" ht="39.9" customHeight="1" thickBot="1" x14ac:dyDescent="0.35">
      <c r="A28" s="201" t="s">
        <v>78</v>
      </c>
      <c r="B28" s="202"/>
      <c r="C28" s="63" t="s">
        <v>93</v>
      </c>
      <c r="D28" s="270">
        <v>0.99</v>
      </c>
      <c r="E28" s="204"/>
    </row>
    <row r="29" spans="1:5" ht="69.75" customHeight="1" thickBot="1" x14ac:dyDescent="0.35">
      <c r="A29" s="205" t="s">
        <v>210</v>
      </c>
      <c r="B29" s="206"/>
      <c r="C29" s="207" t="s">
        <v>235</v>
      </c>
      <c r="D29" s="207"/>
      <c r="E29" s="208"/>
    </row>
    <row r="30" spans="1:5" ht="54" customHeight="1" thickBot="1" x14ac:dyDescent="0.45">
      <c r="A30" s="47" t="s">
        <v>79</v>
      </c>
      <c r="B30" s="50"/>
    </row>
    <row r="31" spans="1:5" ht="15.5" x14ac:dyDescent="0.3">
      <c r="A31" s="64" t="s">
        <v>45</v>
      </c>
      <c r="B31" s="65" t="s">
        <v>123</v>
      </c>
      <c r="C31" s="209" t="s">
        <v>80</v>
      </c>
      <c r="D31" s="210"/>
      <c r="E31" s="66" t="s">
        <v>219</v>
      </c>
    </row>
    <row r="32" spans="1:5" ht="15.5" x14ac:dyDescent="0.3">
      <c r="A32" s="51"/>
      <c r="B32" s="52"/>
      <c r="C32" s="211"/>
      <c r="D32" s="212"/>
      <c r="E32" s="53"/>
    </row>
    <row r="33" spans="1:7" ht="15.5" x14ac:dyDescent="0.3">
      <c r="A33" s="51"/>
      <c r="B33" s="52"/>
      <c r="C33" s="197"/>
      <c r="D33" s="213"/>
      <c r="E33" s="53"/>
    </row>
    <row r="34" spans="1:7" ht="16" thickBot="1" x14ac:dyDescent="0.35">
      <c r="A34" s="54"/>
      <c r="B34" s="55"/>
      <c r="C34" s="189"/>
      <c r="D34" s="214"/>
      <c r="E34" s="56"/>
    </row>
    <row r="35" spans="1:7" ht="30" customHeight="1" x14ac:dyDescent="0.3"/>
    <row r="36" spans="1:7" ht="19.5" thickBot="1" x14ac:dyDescent="0.45">
      <c r="A36" s="194" t="s">
        <v>81</v>
      </c>
      <c r="B36" s="194"/>
      <c r="C36" s="194"/>
    </row>
    <row r="37" spans="1:7" ht="31" x14ac:dyDescent="0.3">
      <c r="A37" s="152" t="s">
        <v>4</v>
      </c>
      <c r="B37" s="153" t="s">
        <v>82</v>
      </c>
      <c r="C37" s="276" t="s">
        <v>9</v>
      </c>
      <c r="D37" s="276"/>
      <c r="E37" s="277"/>
    </row>
    <row r="38" spans="1:7" ht="247.75" customHeight="1" x14ac:dyDescent="0.3">
      <c r="A38" s="164" t="s">
        <v>424</v>
      </c>
      <c r="B38" s="164" t="s">
        <v>425</v>
      </c>
      <c r="C38" s="274" t="s">
        <v>429</v>
      </c>
      <c r="D38" s="274"/>
      <c r="E38" s="274"/>
    </row>
    <row r="39" spans="1:7" ht="247.75" customHeight="1" x14ac:dyDescent="0.3">
      <c r="A39" s="164" t="s">
        <v>461</v>
      </c>
      <c r="B39" s="164" t="s">
        <v>460</v>
      </c>
      <c r="C39" s="274" t="s">
        <v>459</v>
      </c>
      <c r="D39" s="274"/>
      <c r="E39" s="274"/>
    </row>
    <row r="40" spans="1:7" ht="19" x14ac:dyDescent="0.4">
      <c r="A40" s="194" t="s">
        <v>220</v>
      </c>
      <c r="B40" s="194"/>
      <c r="C40" s="194"/>
      <c r="D40" s="117"/>
      <c r="E40" s="117"/>
    </row>
    <row r="41" spans="1:7" s="49" customFormat="1" ht="30" customHeight="1" x14ac:dyDescent="0.3">
      <c r="A41" s="186" t="s">
        <v>225</v>
      </c>
      <c r="B41" s="186"/>
      <c r="C41" s="186"/>
      <c r="D41" s="186"/>
      <c r="E41" s="186"/>
      <c r="F41" s="186"/>
      <c r="G41" s="186"/>
    </row>
    <row r="42" spans="1:7" ht="15.5" x14ac:dyDescent="0.3">
      <c r="A42" s="118" t="s">
        <v>4</v>
      </c>
      <c r="B42" s="119" t="s">
        <v>222</v>
      </c>
      <c r="C42" s="119" t="s">
        <v>223</v>
      </c>
      <c r="D42" s="195" t="s">
        <v>224</v>
      </c>
      <c r="E42" s="196"/>
    </row>
    <row r="43" spans="1:7" ht="170.5" x14ac:dyDescent="0.3">
      <c r="A43" s="51" t="s">
        <v>226</v>
      </c>
      <c r="B43" s="52"/>
      <c r="C43" s="52"/>
      <c r="D43" s="197"/>
      <c r="E43" s="198"/>
    </row>
    <row r="44" spans="1:7" ht="140" thickBot="1" x14ac:dyDescent="0.35">
      <c r="A44" s="54" t="s">
        <v>221</v>
      </c>
      <c r="B44" s="55"/>
      <c r="C44" s="55"/>
      <c r="D44" s="189"/>
      <c r="E44" s="190"/>
    </row>
    <row r="45" spans="1:7" ht="15.5" x14ac:dyDescent="0.3">
      <c r="A45" s="116"/>
      <c r="B45" s="116"/>
      <c r="C45" s="117"/>
      <c r="D45" s="117"/>
      <c r="E45" s="117"/>
    </row>
    <row r="46" spans="1:7" s="49" customFormat="1" ht="40.5" customHeight="1" thickBot="1" x14ac:dyDescent="0.35">
      <c r="A46" s="186" t="s">
        <v>227</v>
      </c>
      <c r="B46" s="186"/>
      <c r="C46" s="186"/>
      <c r="D46" s="186"/>
      <c r="E46" s="186"/>
      <c r="F46" s="186"/>
      <c r="G46" s="186"/>
    </row>
    <row r="47" spans="1:7" ht="15.5" x14ac:dyDescent="0.3">
      <c r="A47" s="64" t="s">
        <v>4</v>
      </c>
      <c r="B47" s="65" t="s">
        <v>222</v>
      </c>
      <c r="C47" s="65" t="s">
        <v>223</v>
      </c>
      <c r="D47" s="187" t="s">
        <v>224</v>
      </c>
      <c r="E47" s="188"/>
    </row>
    <row r="48" spans="1:7" ht="140" thickBot="1" x14ac:dyDescent="0.35">
      <c r="A48" s="54" t="s">
        <v>228</v>
      </c>
      <c r="B48" s="55"/>
      <c r="C48" s="55"/>
      <c r="D48" s="189"/>
      <c r="E48" s="190"/>
    </row>
    <row r="49" spans="1:21" ht="15.5" x14ac:dyDescent="0.3">
      <c r="A49" s="116"/>
      <c r="B49" s="116"/>
      <c r="C49" s="117"/>
      <c r="D49" s="117"/>
      <c r="E49" s="117"/>
    </row>
    <row r="51" spans="1:21" ht="19" x14ac:dyDescent="0.4">
      <c r="A51" s="194" t="s">
        <v>101</v>
      </c>
      <c r="B51" s="194"/>
      <c r="C51" s="194"/>
    </row>
    <row r="52" spans="1:21" s="123" customFormat="1" ht="131.25" customHeight="1" x14ac:dyDescent="0.25">
      <c r="A52" s="114" t="s">
        <v>102</v>
      </c>
      <c r="B52" s="114" t="s">
        <v>103</v>
      </c>
      <c r="C52" s="114" t="s">
        <v>104</v>
      </c>
      <c r="D52" s="114" t="s">
        <v>105</v>
      </c>
      <c r="E52" s="114" t="s">
        <v>106</v>
      </c>
      <c r="F52" s="114" t="s">
        <v>107</v>
      </c>
      <c r="G52" s="114" t="s">
        <v>108</v>
      </c>
      <c r="H52" s="114" t="s">
        <v>109</v>
      </c>
      <c r="I52" s="120" t="s">
        <v>110</v>
      </c>
      <c r="J52" s="121" t="s">
        <v>111</v>
      </c>
      <c r="K52" s="114" t="s">
        <v>112</v>
      </c>
      <c r="L52" s="114" t="s">
        <v>113</v>
      </c>
      <c r="M52" s="120" t="s">
        <v>114</v>
      </c>
      <c r="N52" s="121" t="s">
        <v>115</v>
      </c>
      <c r="O52" s="114" t="s">
        <v>91</v>
      </c>
      <c r="P52" s="122" t="s">
        <v>116</v>
      </c>
      <c r="Q52" s="114" t="s">
        <v>117</v>
      </c>
      <c r="R52" s="114" t="s">
        <v>218</v>
      </c>
      <c r="S52" s="114" t="s">
        <v>76</v>
      </c>
      <c r="T52" s="114" t="s">
        <v>118</v>
      </c>
      <c r="U52" s="114" t="s">
        <v>119</v>
      </c>
    </row>
    <row r="53" spans="1:21" x14ac:dyDescent="0.3">
      <c r="D53" s="70" t="s">
        <v>120</v>
      </c>
      <c r="E53" s="70" t="s">
        <v>121</v>
      </c>
      <c r="F53" s="48" t="str">
        <f>C18</f>
        <v>FULL</v>
      </c>
      <c r="H53" s="71" t="str">
        <f>C5</f>
        <v>Gtest Branch: https://github-vni.geo.conti.de/cds/sw.pkg.em_psm/commit/9b306e94257642abfd3b479636aea5474a9a4698</v>
      </c>
      <c r="I53" s="71" t="str">
        <f>Tester</f>
        <v>Akshat Kumar</v>
      </c>
      <c r="J53" s="94"/>
      <c r="K53" s="94"/>
      <c r="L53" s="94"/>
      <c r="M53" s="94">
        <f>TestDate</f>
        <v>45564</v>
      </c>
      <c r="N53" s="70" t="s">
        <v>189</v>
      </c>
      <c r="O53" s="71" t="str">
        <f>TestResult</f>
        <v>Passed</v>
      </c>
      <c r="P53" s="71" t="str">
        <f>C23</f>
        <v>1.42s</v>
      </c>
      <c r="Q53" s="71">
        <f>$C$24</f>
        <v>101</v>
      </c>
      <c r="R53" s="71">
        <f>$C$25</f>
        <v>0</v>
      </c>
      <c r="S53" s="71">
        <f>$C$26</f>
        <v>0</v>
      </c>
      <c r="T53" s="71">
        <f>$D$28</f>
        <v>0.99</v>
      </c>
    </row>
  </sheetData>
  <mergeCells count="69">
    <mergeCell ref="D47:E47"/>
    <mergeCell ref="D48:E48"/>
    <mergeCell ref="A51:C51"/>
    <mergeCell ref="A40:C40"/>
    <mergeCell ref="A41:G41"/>
    <mergeCell ref="D42:E42"/>
    <mergeCell ref="D43:E43"/>
    <mergeCell ref="D44:E44"/>
    <mergeCell ref="A46:G46"/>
    <mergeCell ref="C39:E39"/>
    <mergeCell ref="A28:B28"/>
    <mergeCell ref="D28:E28"/>
    <mergeCell ref="A29:B29"/>
    <mergeCell ref="C29:E29"/>
    <mergeCell ref="C31:D31"/>
    <mergeCell ref="C32:D32"/>
    <mergeCell ref="C33:D33"/>
    <mergeCell ref="C34:D34"/>
    <mergeCell ref="A36:C36"/>
    <mergeCell ref="C37:E37"/>
    <mergeCell ref="C38:E38"/>
    <mergeCell ref="A25:B25"/>
    <mergeCell ref="C25:E25"/>
    <mergeCell ref="A26:B26"/>
    <mergeCell ref="C26:E26"/>
    <mergeCell ref="A27:B27"/>
    <mergeCell ref="C27:E27"/>
    <mergeCell ref="A22:B22"/>
    <mergeCell ref="C22:E22"/>
    <mergeCell ref="A23:B23"/>
    <mergeCell ref="D23:E23"/>
    <mergeCell ref="A24:B24"/>
    <mergeCell ref="C24:E24"/>
    <mergeCell ref="A19:B19"/>
    <mergeCell ref="C19:E19"/>
    <mergeCell ref="A20:B20"/>
    <mergeCell ref="C20:E20"/>
    <mergeCell ref="A21:B21"/>
    <mergeCell ref="C21:E21"/>
    <mergeCell ref="A14:B14"/>
    <mergeCell ref="C14:E14"/>
    <mergeCell ref="A15:B15"/>
    <mergeCell ref="C15:E15"/>
    <mergeCell ref="A18:B18"/>
    <mergeCell ref="C18:E18"/>
    <mergeCell ref="A11:B11"/>
    <mergeCell ref="C11:E11"/>
    <mergeCell ref="A12:B12"/>
    <mergeCell ref="C12:E12"/>
    <mergeCell ref="A13:B13"/>
    <mergeCell ref="C13:E13"/>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N52:O52">
    <cfRule type="cellIs" dxfId="8" priority="1" stopIfTrue="1" operator="equal">
      <formula>"passed"</formula>
    </cfRule>
    <cfRule type="cellIs" dxfId="7" priority="2" stopIfTrue="1" operator="equal">
      <formula>"cond. acc."</formula>
    </cfRule>
    <cfRule type="cellIs" dxfId="6" priority="3" stopIfTrue="1" operator="equal">
      <formula>"failed"</formula>
    </cfRule>
  </conditionalFormatting>
  <dataValidations count="7">
    <dataValidation type="list" allowBlank="1" showInputMessage="1" showErrorMessage="1" sqref="C27:E27" xr:uid="{2631C8D4-B449-4DA8-BF9A-96192439654E}">
      <formula1>result_list</formula1>
    </dataValidation>
    <dataValidation type="list" errorStyle="warning" allowBlank="1" showInputMessage="1" showErrorMessage="1" errorTitle="Bitte aus der Liste auswählen!" promptTitle="Bitte aus der Liste auswählen!" sqref="N52" xr:uid="{E2A025C2-F1F2-406E-B5E1-0DC8D32F6A70}">
      <formula1>#REF!</formula1>
    </dataValidation>
    <dataValidation type="list" errorStyle="warning" allowBlank="1" showInputMessage="1" showErrorMessage="1" errorTitle="Bitte Wert aus Liste auswählen!" promptTitle="Bitte Wert aus Liste auswählen!" sqref="F52" xr:uid="{4330AA07-24CA-422A-88C8-3AE08FA842B6}">
      <formula1>$F$989:$F$992</formula1>
    </dataValidation>
    <dataValidation type="list" errorStyle="warning" allowBlank="1" showInputMessage="1" showErrorMessage="1" errorTitle="Bitte Wert aus Liste auswählen!" promptTitle="Bitte Wert aus Liste auswählen!" sqref="E52" xr:uid="{A7141B51-80FA-4AFF-AB04-C79CCC43B7D2}">
      <formula1>$E$990:$E$1017</formula1>
    </dataValidation>
    <dataValidation type="list" allowBlank="1" showInputMessage="1" showErrorMessage="1" sqref="F53" xr:uid="{E4D41CEE-B650-4382-953B-6A490353D90E}">
      <formula1>TestTypeTSO</formula1>
    </dataValidation>
    <dataValidation type="list" allowBlank="1" showInputMessage="1" showErrorMessage="1" sqref="C18:E18" xr:uid="{2B4CE69C-4E8D-4672-BDC6-5F2621FD0569}">
      <formula1>TypeOfTest</formula1>
    </dataValidation>
    <dataValidation type="list" allowBlank="1" showInputMessage="1" showErrorMessage="1" sqref="C21:E21" xr:uid="{7503B36E-B912-4026-B0F0-0CB77AD9A119}">
      <formula1>TestScope</formula1>
    </dataValidation>
  </dataValidations>
  <hyperlinks>
    <hyperlink ref="C5:E5" r:id="rId1" display="Gtest Branch: https://github-vni.geo.conti.de/cds/sw.pkg.em_psm/commit/e1d915b3169eefeefd2540b0cd431fd5a8fa0c85" xr:uid="{972E2AE6-AF2C-47A4-BF6D-0E5F9DEE38C2}"/>
    <hyperlink ref="C6:E6" r:id="rId2" display="e1d915b3169eefeefd2540b0cd431fd5a8fa0c86" xr:uid="{CA4D6CBC-6710-4E0F-8C8D-BDF0202313A8}"/>
  </hyperlinks>
  <pageMargins left="0.78740157480314965" right="0.19685039370078741" top="0.98425196850393704" bottom="0.98425196850393704" header="0.51181102362204722" footer="0.51181102362204722"/>
  <pageSetup paperSize="9" scale="90" orientation="portrait" r:id="rId3"/>
  <headerFooter alignWithMargins="0">
    <oddFooter>&amp;C_x000D_&amp;1#&amp;"Arial"&amp;8&amp;K000000 Internal</oddFooter>
  </headerFooter>
  <rowBreaks count="2" manualBreakCount="2">
    <brk id="16" max="16383" man="1"/>
    <brk id="29" max="16383" man="1"/>
  </rowBreaks>
  <drawing r:id="rId4"/>
  <legacyDrawing r:id="rId5"/>
  <oleObjects>
    <mc:AlternateContent xmlns:mc="http://schemas.openxmlformats.org/markup-compatibility/2006">
      <mc:Choice Requires="x14">
        <oleObject progId="Packager Shell Object" dvAspect="DVASPECT_ICON" shapeId="90114" r:id="rId6">
          <objectPr defaultSize="0" autoPict="0" r:id="rId7">
            <anchor moveWithCells="1">
              <from>
                <xdr:col>6</xdr:col>
                <xdr:colOff>25400</xdr:colOff>
                <xdr:row>4</xdr:row>
                <xdr:rowOff>107950</xdr:rowOff>
              </from>
              <to>
                <xdr:col>6</xdr:col>
                <xdr:colOff>965200</xdr:colOff>
                <xdr:row>4</xdr:row>
                <xdr:rowOff>850900</xdr:rowOff>
              </to>
            </anchor>
          </objectPr>
        </oleObject>
      </mc:Choice>
      <mc:Fallback>
        <oleObject progId="Packager Shell Object" dvAspect="DVASPECT_ICON" shapeId="90114" r:id="rId6"/>
      </mc:Fallback>
    </mc:AlternateContent>
    <mc:AlternateContent xmlns:mc="http://schemas.openxmlformats.org/markup-compatibility/2006">
      <mc:Choice Requires="x14">
        <oleObject progId="Packager Shell Object" dvAspect="DVASPECT_ICON" shapeId="90115" r:id="rId8">
          <objectPr defaultSize="0" autoPict="0" r:id="rId9">
            <anchor moveWithCells="1">
              <from>
                <xdr:col>6</xdr:col>
                <xdr:colOff>25400</xdr:colOff>
                <xdr:row>4</xdr:row>
                <xdr:rowOff>1231900</xdr:rowOff>
              </from>
              <to>
                <xdr:col>7</xdr:col>
                <xdr:colOff>495300</xdr:colOff>
                <xdr:row>4</xdr:row>
                <xdr:rowOff>1752600</xdr:rowOff>
              </to>
            </anchor>
          </objectPr>
        </oleObject>
      </mc:Choice>
      <mc:Fallback>
        <oleObject progId="Packager Shell Object" dvAspect="DVASPECT_ICON" shapeId="90115" r:id="rId8"/>
      </mc:Fallback>
    </mc:AlternateContent>
  </oleObjects>
  <controls>
    <mc:AlternateContent xmlns:mc="http://schemas.openxmlformats.org/markup-compatibility/2006">
      <mc:Choice Requires="x14">
        <control shapeId="90113" r:id="rId10" name="CommandButton1">
          <controlPr defaultSize="0" autoLine="0" autoPict="0" r:id="rId11">
            <anchor moveWithCells="1">
              <from>
                <xdr:col>5</xdr:col>
                <xdr:colOff>406400</xdr:colOff>
                <xdr:row>1</xdr:row>
                <xdr:rowOff>76200</xdr:rowOff>
              </from>
              <to>
                <xdr:col>8</xdr:col>
                <xdr:colOff>603250</xdr:colOff>
                <xdr:row>3</xdr:row>
                <xdr:rowOff>165100</xdr:rowOff>
              </to>
            </anchor>
          </controlPr>
        </control>
      </mc:Choice>
      <mc:Fallback>
        <control shapeId="90113" r:id="rId10"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BF8A2-49EA-45AD-8059-5DCCAFB887F0}">
  <sheetPr codeName="Tabelle18">
    <tabColor indexed="44"/>
  </sheetPr>
  <dimension ref="A1:U52"/>
  <sheetViews>
    <sheetView zoomScale="81" zoomScaleNormal="81" workbookViewId="0"/>
  </sheetViews>
  <sheetFormatPr defaultColWidth="12.54296875" defaultRowHeight="14" x14ac:dyDescent="0.3"/>
  <cols>
    <col min="1" max="2" width="17.90625" style="48" customWidth="1"/>
    <col min="3" max="3" width="17.54296875" style="48" customWidth="1"/>
    <col min="4" max="4" width="27" style="49" customWidth="1"/>
    <col min="5" max="5" width="71.54296875" style="48" customWidth="1"/>
    <col min="6" max="6" width="12" style="48" customWidth="1"/>
    <col min="7" max="7" width="14.1796875" style="48" customWidth="1"/>
    <col min="8" max="16384" width="12.54296875" style="48"/>
  </cols>
  <sheetData>
    <row r="1" spans="1:5" ht="19" x14ac:dyDescent="0.4">
      <c r="A1" s="67" t="s">
        <v>56</v>
      </c>
      <c r="B1" s="67"/>
      <c r="C1" s="68"/>
      <c r="D1" s="68"/>
      <c r="E1" s="68"/>
    </row>
    <row r="2" spans="1:5" ht="25.5" customHeight="1" x14ac:dyDescent="0.3">
      <c r="A2" s="217" t="s">
        <v>94</v>
      </c>
      <c r="B2" s="218"/>
      <c r="C2" s="256" t="str">
        <f ca="1">MID(CELL("filename",$C$2),FIND("[",CELL("filename",$C$2))+1,FIND("]",CELL("filename",$C$2))-FIND("[",CELL("filename",$C$2))-1)</f>
        <v>PSM1TS.xlsm</v>
      </c>
      <c r="D2" s="256"/>
      <c r="E2" s="257"/>
    </row>
    <row r="3" spans="1:5" ht="20.149999999999999" customHeight="1" x14ac:dyDescent="0.3">
      <c r="A3" s="217" t="s">
        <v>95</v>
      </c>
      <c r="B3" s="218"/>
      <c r="C3" s="258">
        <v>1.6</v>
      </c>
      <c r="D3" s="258"/>
      <c r="E3" s="259"/>
    </row>
    <row r="4" spans="1:5" ht="20.149999999999999" customHeight="1" x14ac:dyDescent="0.3">
      <c r="A4" s="217" t="s">
        <v>96</v>
      </c>
      <c r="B4" s="218"/>
      <c r="C4" s="258" t="s">
        <v>423</v>
      </c>
      <c r="D4" s="258"/>
      <c r="E4" s="259"/>
    </row>
    <row r="5" spans="1:5" ht="138.65" customHeight="1" x14ac:dyDescent="0.3">
      <c r="A5" s="217" t="s">
        <v>97</v>
      </c>
      <c r="B5" s="218"/>
      <c r="C5" s="271" t="s">
        <v>791</v>
      </c>
      <c r="D5" s="272"/>
      <c r="E5" s="273"/>
    </row>
    <row r="6" spans="1:5" ht="39.9" customHeight="1" x14ac:dyDescent="0.3">
      <c r="A6" s="217" t="s">
        <v>57</v>
      </c>
      <c r="B6" s="218"/>
      <c r="C6" s="271" t="s">
        <v>790</v>
      </c>
      <c r="D6" s="272"/>
      <c r="E6" s="273"/>
    </row>
    <row r="7" spans="1:5" ht="48.75" customHeight="1" x14ac:dyDescent="0.3">
      <c r="A7" s="217" t="s">
        <v>211</v>
      </c>
      <c r="B7" s="218"/>
      <c r="C7" s="239" t="s">
        <v>235</v>
      </c>
      <c r="D7" s="239"/>
      <c r="E7" s="240"/>
    </row>
    <row r="8" spans="1:5" ht="39.9" customHeight="1" x14ac:dyDescent="0.3">
      <c r="A8" s="217" t="s">
        <v>58</v>
      </c>
      <c r="B8" s="218"/>
      <c r="C8" s="239" t="s">
        <v>235</v>
      </c>
      <c r="D8" s="239"/>
      <c r="E8" s="240"/>
    </row>
    <row r="9" spans="1:5" ht="20.149999999999999" customHeight="1" x14ac:dyDescent="0.3">
      <c r="A9" s="230" t="s">
        <v>60</v>
      </c>
      <c r="B9" s="231"/>
      <c r="C9" s="247"/>
      <c r="D9" s="247"/>
      <c r="E9" s="248"/>
    </row>
    <row r="10" spans="1:5" ht="20.149999999999999" customHeight="1" x14ac:dyDescent="0.3">
      <c r="A10" s="249" t="s">
        <v>61</v>
      </c>
      <c r="B10" s="250"/>
      <c r="C10" s="251" t="s">
        <v>235</v>
      </c>
      <c r="D10" s="251"/>
      <c r="E10" s="252"/>
    </row>
    <row r="11" spans="1:5" ht="39.9" customHeight="1" x14ac:dyDescent="0.3">
      <c r="A11" s="217" t="s">
        <v>63</v>
      </c>
      <c r="B11" s="218"/>
      <c r="C11" s="239" t="s">
        <v>235</v>
      </c>
      <c r="D11" s="239"/>
      <c r="E11" s="240"/>
    </row>
    <row r="12" spans="1:5" ht="39.9" customHeight="1" x14ac:dyDescent="0.3">
      <c r="A12" s="217" t="s">
        <v>65</v>
      </c>
      <c r="B12" s="218"/>
      <c r="C12" s="239" t="s">
        <v>235</v>
      </c>
      <c r="D12" s="239"/>
      <c r="E12" s="240"/>
    </row>
    <row r="13" spans="1:5" ht="39.9" customHeight="1" x14ac:dyDescent="0.3">
      <c r="A13" s="217" t="s">
        <v>67</v>
      </c>
      <c r="B13" s="218"/>
      <c r="C13" s="239" t="s">
        <v>235</v>
      </c>
      <c r="D13" s="239"/>
      <c r="E13" s="240"/>
    </row>
    <row r="14" spans="1:5" ht="39.9" customHeight="1" x14ac:dyDescent="0.3">
      <c r="A14" s="217" t="s">
        <v>69</v>
      </c>
      <c r="B14" s="218"/>
      <c r="C14" s="239" t="s">
        <v>235</v>
      </c>
      <c r="D14" s="239"/>
      <c r="E14" s="240"/>
    </row>
    <row r="15" spans="1:5" ht="39.9" customHeight="1" thickBot="1" x14ac:dyDescent="0.35">
      <c r="A15" s="201" t="s">
        <v>213</v>
      </c>
      <c r="B15" s="202"/>
      <c r="C15" s="241" t="s">
        <v>235</v>
      </c>
      <c r="D15" s="241"/>
      <c r="E15" s="242"/>
    </row>
    <row r="16" spans="1:5" ht="30" customHeight="1" x14ac:dyDescent="0.3"/>
    <row r="17" spans="1:5" ht="19.5" thickBot="1" x14ac:dyDescent="0.45">
      <c r="A17" s="67" t="s">
        <v>71</v>
      </c>
      <c r="B17" s="67"/>
      <c r="C17" s="68"/>
      <c r="D17" s="68"/>
      <c r="E17" s="68"/>
    </row>
    <row r="18" spans="1:5" ht="39.9" customHeight="1" x14ac:dyDescent="0.3">
      <c r="A18" s="243" t="s">
        <v>183</v>
      </c>
      <c r="B18" s="244"/>
      <c r="C18" s="245" t="s">
        <v>179</v>
      </c>
      <c r="D18" s="245"/>
      <c r="E18" s="246"/>
    </row>
    <row r="19" spans="1:5" ht="20.149999999999999" customHeight="1" x14ac:dyDescent="0.3">
      <c r="A19" s="230" t="s">
        <v>100</v>
      </c>
      <c r="B19" s="231"/>
      <c r="C19" s="232" t="s">
        <v>523</v>
      </c>
      <c r="D19" s="232"/>
      <c r="E19" s="233"/>
    </row>
    <row r="20" spans="1:5" ht="39.9" customHeight="1" x14ac:dyDescent="0.3">
      <c r="A20" s="217" t="s">
        <v>73</v>
      </c>
      <c r="B20" s="218"/>
      <c r="C20" s="266">
        <v>45971</v>
      </c>
      <c r="D20" s="266"/>
      <c r="E20" s="267"/>
    </row>
    <row r="21" spans="1:5" ht="39.9" customHeight="1" x14ac:dyDescent="0.3">
      <c r="A21" s="217" t="s">
        <v>74</v>
      </c>
      <c r="B21" s="218"/>
      <c r="C21" s="236" t="s">
        <v>45</v>
      </c>
      <c r="D21" s="237"/>
      <c r="E21" s="238"/>
    </row>
    <row r="22" spans="1:5" ht="39.9" customHeight="1" x14ac:dyDescent="0.3">
      <c r="A22" s="217" t="s">
        <v>185</v>
      </c>
      <c r="B22" s="218"/>
      <c r="C22" s="226" t="s">
        <v>787</v>
      </c>
      <c r="D22" s="226"/>
      <c r="E22" s="227"/>
    </row>
    <row r="23" spans="1:5" ht="20.149999999999999" customHeight="1" x14ac:dyDescent="0.3">
      <c r="A23" s="217" t="s">
        <v>75</v>
      </c>
      <c r="B23" s="218"/>
      <c r="C23" s="159" t="s">
        <v>793</v>
      </c>
      <c r="D23" s="228" t="s">
        <v>98</v>
      </c>
      <c r="E23" s="229"/>
    </row>
    <row r="24" spans="1:5" ht="39.9" customHeight="1" x14ac:dyDescent="0.3">
      <c r="A24" s="217" t="s">
        <v>122</v>
      </c>
      <c r="B24" s="218"/>
      <c r="C24" s="219">
        <v>106</v>
      </c>
      <c r="D24" s="219"/>
      <c r="E24" s="220"/>
    </row>
    <row r="25" spans="1:5" ht="39.9" customHeight="1" x14ac:dyDescent="0.3">
      <c r="A25" s="217" t="s">
        <v>218</v>
      </c>
      <c r="B25" s="218"/>
      <c r="C25" s="219">
        <v>0</v>
      </c>
      <c r="D25" s="219"/>
      <c r="E25" s="220"/>
    </row>
    <row r="26" spans="1:5" ht="39.9" customHeight="1" x14ac:dyDescent="0.3">
      <c r="A26" s="217" t="s">
        <v>76</v>
      </c>
      <c r="B26" s="218"/>
      <c r="C26" s="219">
        <v>0</v>
      </c>
      <c r="D26" s="219"/>
      <c r="E26" s="220"/>
    </row>
    <row r="27" spans="1:5" ht="39.9" customHeight="1" x14ac:dyDescent="0.3">
      <c r="A27" s="221" t="s">
        <v>77</v>
      </c>
      <c r="B27" s="222"/>
      <c r="C27" s="223" t="s">
        <v>237</v>
      </c>
      <c r="D27" s="224"/>
      <c r="E27" s="225"/>
    </row>
    <row r="28" spans="1:5" ht="39.9" customHeight="1" thickBot="1" x14ac:dyDescent="0.35">
      <c r="A28" s="201" t="s">
        <v>78</v>
      </c>
      <c r="B28" s="202"/>
      <c r="C28" s="63" t="s">
        <v>93</v>
      </c>
      <c r="D28" s="270">
        <v>0.99</v>
      </c>
      <c r="E28" s="204"/>
    </row>
    <row r="29" spans="1:5" ht="69.75" customHeight="1" thickBot="1" x14ac:dyDescent="0.35">
      <c r="A29" s="205" t="s">
        <v>210</v>
      </c>
      <c r="B29" s="206"/>
      <c r="C29" s="207" t="s">
        <v>235</v>
      </c>
      <c r="D29" s="207"/>
      <c r="E29" s="208"/>
    </row>
    <row r="30" spans="1:5" ht="54" customHeight="1" thickBot="1" x14ac:dyDescent="0.45">
      <c r="A30" s="47" t="s">
        <v>79</v>
      </c>
      <c r="B30" s="50"/>
    </row>
    <row r="31" spans="1:5" ht="15.5" x14ac:dyDescent="0.3">
      <c r="A31" s="64" t="s">
        <v>45</v>
      </c>
      <c r="B31" s="65" t="s">
        <v>123</v>
      </c>
      <c r="C31" s="209" t="s">
        <v>80</v>
      </c>
      <c r="D31" s="210"/>
      <c r="E31" s="66" t="s">
        <v>219</v>
      </c>
    </row>
    <row r="32" spans="1:5" ht="15.5" x14ac:dyDescent="0.3">
      <c r="A32" s="51"/>
      <c r="B32" s="52"/>
      <c r="C32" s="211"/>
      <c r="D32" s="212"/>
      <c r="E32" s="53"/>
    </row>
    <row r="33" spans="1:7" ht="15.5" x14ac:dyDescent="0.3">
      <c r="A33" s="51"/>
      <c r="B33" s="52"/>
      <c r="C33" s="197"/>
      <c r="D33" s="213"/>
      <c r="E33" s="53"/>
    </row>
    <row r="34" spans="1:7" ht="16" thickBot="1" x14ac:dyDescent="0.35">
      <c r="A34" s="54"/>
      <c r="B34" s="55"/>
      <c r="C34" s="189"/>
      <c r="D34" s="214"/>
      <c r="E34" s="56"/>
    </row>
    <row r="35" spans="1:7" ht="30" customHeight="1" x14ac:dyDescent="0.3"/>
    <row r="36" spans="1:7" ht="19.5" thickBot="1" x14ac:dyDescent="0.45">
      <c r="A36" s="194" t="s">
        <v>81</v>
      </c>
      <c r="B36" s="194"/>
      <c r="C36" s="194"/>
    </row>
    <row r="37" spans="1:7" ht="31" x14ac:dyDescent="0.3">
      <c r="A37" s="152" t="s">
        <v>4</v>
      </c>
      <c r="B37" s="153" t="s">
        <v>82</v>
      </c>
      <c r="C37" s="276" t="s">
        <v>9</v>
      </c>
      <c r="D37" s="276"/>
      <c r="E37" s="277"/>
    </row>
    <row r="38" spans="1:7" ht="292" customHeight="1" x14ac:dyDescent="0.3">
      <c r="A38" s="160" t="s">
        <v>424</v>
      </c>
      <c r="B38" s="160" t="s">
        <v>788</v>
      </c>
      <c r="C38" s="274" t="s">
        <v>792</v>
      </c>
      <c r="D38" s="274"/>
      <c r="E38" s="274"/>
    </row>
    <row r="39" spans="1:7" ht="19" x14ac:dyDescent="0.4">
      <c r="A39" s="194" t="s">
        <v>220</v>
      </c>
      <c r="B39" s="194"/>
      <c r="C39" s="194"/>
      <c r="D39" s="117"/>
      <c r="E39" s="117"/>
    </row>
    <row r="40" spans="1:7" s="49" customFormat="1" ht="30" customHeight="1" x14ac:dyDescent="0.3">
      <c r="A40" s="186" t="s">
        <v>225</v>
      </c>
      <c r="B40" s="186"/>
      <c r="C40" s="186"/>
      <c r="D40" s="186"/>
      <c r="E40" s="186"/>
      <c r="F40" s="186"/>
      <c r="G40" s="186"/>
    </row>
    <row r="41" spans="1:7" ht="15.5" x14ac:dyDescent="0.3">
      <c r="A41" s="118" t="s">
        <v>4</v>
      </c>
      <c r="B41" s="119" t="s">
        <v>222</v>
      </c>
      <c r="C41" s="119" t="s">
        <v>223</v>
      </c>
      <c r="D41" s="195" t="s">
        <v>224</v>
      </c>
      <c r="E41" s="196"/>
    </row>
    <row r="42" spans="1:7" ht="170.5" x14ac:dyDescent="0.3">
      <c r="A42" s="51" t="s">
        <v>226</v>
      </c>
      <c r="B42" s="52"/>
      <c r="C42" s="52"/>
      <c r="D42" s="197"/>
      <c r="E42" s="198"/>
    </row>
    <row r="43" spans="1:7" ht="140" thickBot="1" x14ac:dyDescent="0.35">
      <c r="A43" s="54" t="s">
        <v>221</v>
      </c>
      <c r="B43" s="55"/>
      <c r="C43" s="55"/>
      <c r="D43" s="189"/>
      <c r="E43" s="190"/>
    </row>
    <row r="44" spans="1:7" ht="15.5" x14ac:dyDescent="0.3">
      <c r="A44" s="116"/>
      <c r="B44" s="116"/>
      <c r="C44" s="117"/>
      <c r="D44" s="117"/>
      <c r="E44" s="117"/>
    </row>
    <row r="45" spans="1:7" s="49" customFormat="1" ht="40.5" customHeight="1" thickBot="1" x14ac:dyDescent="0.35">
      <c r="A45" s="186" t="s">
        <v>227</v>
      </c>
      <c r="B45" s="186"/>
      <c r="C45" s="186"/>
      <c r="D45" s="186"/>
      <c r="E45" s="186"/>
      <c r="F45" s="186"/>
      <c r="G45" s="186"/>
    </row>
    <row r="46" spans="1:7" ht="15.5" x14ac:dyDescent="0.3">
      <c r="A46" s="64" t="s">
        <v>4</v>
      </c>
      <c r="B46" s="65" t="s">
        <v>222</v>
      </c>
      <c r="C46" s="65" t="s">
        <v>223</v>
      </c>
      <c r="D46" s="187" t="s">
        <v>224</v>
      </c>
      <c r="E46" s="188"/>
    </row>
    <row r="47" spans="1:7" ht="140" thickBot="1" x14ac:dyDescent="0.35">
      <c r="A47" s="54" t="s">
        <v>228</v>
      </c>
      <c r="B47" s="55"/>
      <c r="C47" s="55"/>
      <c r="D47" s="189"/>
      <c r="E47" s="190"/>
    </row>
    <row r="48" spans="1:7" ht="15.5" x14ac:dyDescent="0.3">
      <c r="A48" s="116"/>
      <c r="B48" s="116"/>
      <c r="C48" s="117"/>
      <c r="D48" s="117"/>
      <c r="E48" s="117"/>
    </row>
    <row r="50" spans="1:21" ht="19" x14ac:dyDescent="0.4">
      <c r="A50" s="194" t="s">
        <v>101</v>
      </c>
      <c r="B50" s="194"/>
      <c r="C50" s="194"/>
    </row>
    <row r="51" spans="1:21" s="123" customFormat="1" ht="131.25" customHeight="1" x14ac:dyDescent="0.25">
      <c r="A51" s="114" t="s">
        <v>102</v>
      </c>
      <c r="B51" s="114" t="s">
        <v>103</v>
      </c>
      <c r="C51" s="114" t="s">
        <v>104</v>
      </c>
      <c r="D51" s="114" t="s">
        <v>105</v>
      </c>
      <c r="E51" s="114" t="s">
        <v>106</v>
      </c>
      <c r="F51" s="114" t="s">
        <v>107</v>
      </c>
      <c r="G51" s="114" t="s">
        <v>108</v>
      </c>
      <c r="H51" s="114" t="s">
        <v>109</v>
      </c>
      <c r="I51" s="120" t="s">
        <v>110</v>
      </c>
      <c r="J51" s="121" t="s">
        <v>111</v>
      </c>
      <c r="K51" s="114" t="s">
        <v>112</v>
      </c>
      <c r="L51" s="114" t="s">
        <v>113</v>
      </c>
      <c r="M51" s="120" t="s">
        <v>114</v>
      </c>
      <c r="N51" s="121" t="s">
        <v>115</v>
      </c>
      <c r="O51" s="114" t="s">
        <v>91</v>
      </c>
      <c r="P51" s="122" t="s">
        <v>116</v>
      </c>
      <c r="Q51" s="114" t="s">
        <v>117</v>
      </c>
      <c r="R51" s="114" t="s">
        <v>218</v>
      </c>
      <c r="S51" s="114" t="s">
        <v>76</v>
      </c>
      <c r="T51" s="114" t="s">
        <v>118</v>
      </c>
      <c r="U51" s="114" t="s">
        <v>119</v>
      </c>
    </row>
    <row r="52" spans="1:21" x14ac:dyDescent="0.3">
      <c r="D52" s="70" t="s">
        <v>120</v>
      </c>
      <c r="E52" s="70" t="s">
        <v>121</v>
      </c>
      <c r="F52" s="48" t="str">
        <f>C18</f>
        <v>FULL</v>
      </c>
      <c r="H52" s="71" t="str">
        <f>C5</f>
        <v>Gtest branch: https://github-ix.int.automotive-wan.com/cds/sw.pkg.em_psm/commit/290be1b561415b29111ac8faf53851f51d5afa24</v>
      </c>
      <c r="I52" s="71" t="str">
        <f>Tester</f>
        <v>Adwiti H</v>
      </c>
      <c r="J52" s="94"/>
      <c r="K52" s="94"/>
      <c r="L52" s="94"/>
      <c r="M52" s="94">
        <v>45971</v>
      </c>
      <c r="N52" s="70" t="s">
        <v>189</v>
      </c>
      <c r="O52" s="71" t="str">
        <f>TestResult</f>
        <v>Passed</v>
      </c>
      <c r="P52" s="71" t="str">
        <f>C23</f>
        <v>18.016s</v>
      </c>
      <c r="Q52" s="71">
        <f>$C$24</f>
        <v>106</v>
      </c>
      <c r="R52" s="71">
        <f>$C$25</f>
        <v>0</v>
      </c>
      <c r="S52" s="71">
        <f>$C$26</f>
        <v>0</v>
      </c>
      <c r="T52" s="71">
        <f>$D$28</f>
        <v>0.99</v>
      </c>
    </row>
  </sheetData>
  <mergeCells count="68">
    <mergeCell ref="C31:D31"/>
    <mergeCell ref="D46:E46"/>
    <mergeCell ref="D47:E47"/>
    <mergeCell ref="A50:C50"/>
    <mergeCell ref="A39:C39"/>
    <mergeCell ref="A40:G40"/>
    <mergeCell ref="D41:E41"/>
    <mergeCell ref="D42:E42"/>
    <mergeCell ref="D43:E43"/>
    <mergeCell ref="A45:G45"/>
    <mergeCell ref="C38:E38"/>
    <mergeCell ref="A25:B25"/>
    <mergeCell ref="C25:E25"/>
    <mergeCell ref="A26:B26"/>
    <mergeCell ref="C26:E26"/>
    <mergeCell ref="A27:B27"/>
    <mergeCell ref="C27:E27"/>
    <mergeCell ref="C32:D32"/>
    <mergeCell ref="C33:D33"/>
    <mergeCell ref="C34:D34"/>
    <mergeCell ref="A36:C36"/>
    <mergeCell ref="C37:E37"/>
    <mergeCell ref="A28:B28"/>
    <mergeCell ref="D28:E28"/>
    <mergeCell ref="A29:B29"/>
    <mergeCell ref="C29:E29"/>
    <mergeCell ref="A22:B22"/>
    <mergeCell ref="C22:E22"/>
    <mergeCell ref="A23:B23"/>
    <mergeCell ref="D23:E23"/>
    <mergeCell ref="A24:B24"/>
    <mergeCell ref="C24:E24"/>
    <mergeCell ref="A19:B19"/>
    <mergeCell ref="C19:E19"/>
    <mergeCell ref="A20:B20"/>
    <mergeCell ref="C20:E20"/>
    <mergeCell ref="A21:B21"/>
    <mergeCell ref="C21:E21"/>
    <mergeCell ref="A14:B14"/>
    <mergeCell ref="C14:E14"/>
    <mergeCell ref="A15:B15"/>
    <mergeCell ref="C15:E15"/>
    <mergeCell ref="A18:B18"/>
    <mergeCell ref="C18:E18"/>
    <mergeCell ref="A11:B11"/>
    <mergeCell ref="C11:E11"/>
    <mergeCell ref="A12:B12"/>
    <mergeCell ref="C12:E12"/>
    <mergeCell ref="A13:B13"/>
    <mergeCell ref="C13:E13"/>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N51:O51">
    <cfRule type="cellIs" dxfId="5" priority="1" stopIfTrue="1" operator="equal">
      <formula>"passed"</formula>
    </cfRule>
    <cfRule type="cellIs" dxfId="4" priority="2" stopIfTrue="1" operator="equal">
      <formula>"cond. acc."</formula>
    </cfRule>
    <cfRule type="cellIs" dxfId="3" priority="3" stopIfTrue="1" operator="equal">
      <formula>"failed"</formula>
    </cfRule>
  </conditionalFormatting>
  <dataValidations count="7">
    <dataValidation type="list" allowBlank="1" showInputMessage="1" showErrorMessage="1" sqref="C21:E21" xr:uid="{A8D9D64B-89B6-4FAF-B552-165787FC03FA}">
      <formula1>TestScope</formula1>
    </dataValidation>
    <dataValidation type="list" allowBlank="1" showInputMessage="1" showErrorMessage="1" sqref="C18:E18" xr:uid="{4C165A57-7775-4D1E-82FD-3F196D75B215}">
      <formula1>TypeOfTest</formula1>
    </dataValidation>
    <dataValidation type="list" allowBlank="1" showInputMessage="1" showErrorMessage="1" sqref="F52" xr:uid="{701637CA-C780-4451-8A67-6A7A9AAA8A93}">
      <formula1>TestTypeTSO</formula1>
    </dataValidation>
    <dataValidation type="list" errorStyle="warning" allowBlank="1" showInputMessage="1" showErrorMessage="1" errorTitle="Bitte Wert aus Liste auswählen!" promptTitle="Bitte Wert aus Liste auswählen!" sqref="E51" xr:uid="{5D919549-4B8F-4B40-9549-AE9D6DC91ACF}">
      <formula1>$E$989:$E$1016</formula1>
    </dataValidation>
    <dataValidation type="list" errorStyle="warning" allowBlank="1" showInputMessage="1" showErrorMessage="1" errorTitle="Bitte Wert aus Liste auswählen!" promptTitle="Bitte Wert aus Liste auswählen!" sqref="F51" xr:uid="{1AFB18B3-A597-4C6A-A178-529F7CC8833A}">
      <formula1>$F$988:$F$991</formula1>
    </dataValidation>
    <dataValidation type="list" errorStyle="warning" allowBlank="1" showInputMessage="1" showErrorMessage="1" errorTitle="Bitte aus der Liste auswählen!" promptTitle="Bitte aus der Liste auswählen!" sqref="N51" xr:uid="{7F079814-DAF1-4495-9F00-CD32358AF9EE}">
      <formula1>#REF!</formula1>
    </dataValidation>
    <dataValidation type="list" allowBlank="1" showInputMessage="1" showErrorMessage="1" sqref="C27:E27" xr:uid="{6E1399BC-A3A3-43C2-A3A4-733A64CA1F53}">
      <formula1>result_list</formula1>
    </dataValidation>
  </dataValidations>
  <pageMargins left="0.78740157480314965" right="0.19685039370078741" top="0.98425196850393704" bottom="0.98425196850393704" header="0.51181102362204722" footer="0.51181102362204722"/>
  <pageSetup paperSize="9" scale="90" orientation="portrait" r:id="rId1"/>
  <headerFooter alignWithMargins="0">
    <oddFooter>&amp;C_x000D_&amp;1#&amp;"Arial"&amp;8&amp;K000000 Internal</oddFooter>
  </headerFooter>
  <rowBreaks count="2" manualBreakCount="2">
    <brk id="16" max="16383" man="1"/>
    <brk id="29" max="16383" man="1"/>
  </rowBreaks>
  <drawing r:id="rId2"/>
  <legacyDrawing r:id="rId3"/>
  <oleObjects>
    <mc:AlternateContent xmlns:mc="http://schemas.openxmlformats.org/markup-compatibility/2006">
      <mc:Choice Requires="x14">
        <oleObject progId="Worksheet" dvAspect="DVASPECT_ICON" shapeId="83996" r:id="rId4">
          <objectPr defaultSize="0" r:id="rId5">
            <anchor moveWithCells="1">
              <from>
                <xdr:col>6</xdr:col>
                <xdr:colOff>95250</xdr:colOff>
                <xdr:row>4</xdr:row>
                <xdr:rowOff>425450</xdr:rowOff>
              </from>
              <to>
                <xdr:col>7</xdr:col>
                <xdr:colOff>19050</xdr:colOff>
                <xdr:row>4</xdr:row>
                <xdr:rowOff>1117600</xdr:rowOff>
              </to>
            </anchor>
          </objectPr>
        </oleObject>
      </mc:Choice>
      <mc:Fallback>
        <oleObject progId="Worksheet" dvAspect="DVASPECT_ICON" shapeId="83996" r:id="rId4"/>
      </mc:Fallback>
    </mc:AlternateContent>
    <mc:AlternateContent xmlns:mc="http://schemas.openxmlformats.org/markup-compatibility/2006">
      <mc:Choice Requires="x14">
        <oleObject progId="Packager Shell Object" dvAspect="DVASPECT_ICON" shapeId="83997" r:id="rId6">
          <objectPr defaultSize="0" r:id="rId7">
            <anchor moveWithCells="1">
              <from>
                <xdr:col>6</xdr:col>
                <xdr:colOff>0</xdr:colOff>
                <xdr:row>5</xdr:row>
                <xdr:rowOff>0</xdr:rowOff>
              </from>
              <to>
                <xdr:col>7</xdr:col>
                <xdr:colOff>457200</xdr:colOff>
                <xdr:row>6</xdr:row>
                <xdr:rowOff>19050</xdr:rowOff>
              </to>
            </anchor>
          </objectPr>
        </oleObject>
      </mc:Choice>
      <mc:Fallback>
        <oleObject progId="Packager Shell Object" dvAspect="DVASPECT_ICON" shapeId="83997" r:id="rId6"/>
      </mc:Fallback>
    </mc:AlternateContent>
  </oleObjects>
  <controls>
    <mc:AlternateContent xmlns:mc="http://schemas.openxmlformats.org/markup-compatibility/2006">
      <mc:Choice Requires="x14">
        <control shapeId="83969" r:id="rId8" name="CommandButton1">
          <controlPr defaultSize="0" autoLine="0" r:id="rId9">
            <anchor moveWithCells="1">
              <from>
                <xdr:col>5</xdr:col>
                <xdr:colOff>406400</xdr:colOff>
                <xdr:row>1</xdr:row>
                <xdr:rowOff>76200</xdr:rowOff>
              </from>
              <to>
                <xdr:col>8</xdr:col>
                <xdr:colOff>565150</xdr:colOff>
                <xdr:row>3</xdr:row>
                <xdr:rowOff>152400</xdr:rowOff>
              </to>
            </anchor>
          </controlPr>
        </control>
      </mc:Choice>
      <mc:Fallback>
        <control shapeId="83969" r:id="rId8"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indexed="44"/>
  </sheetPr>
  <dimension ref="A1:U55"/>
  <sheetViews>
    <sheetView topLeftCell="A31" zoomScaleNormal="100" workbookViewId="0">
      <selection activeCell="A43" sqref="A43:G43"/>
    </sheetView>
  </sheetViews>
  <sheetFormatPr defaultColWidth="12.54296875" defaultRowHeight="14" x14ac:dyDescent="0.3"/>
  <cols>
    <col min="1" max="2" width="17.90625" style="48" customWidth="1"/>
    <col min="3" max="3" width="17.54296875" style="48" customWidth="1"/>
    <col min="4" max="4" width="27" style="49" customWidth="1"/>
    <col min="5" max="5" width="17.54296875" style="48" customWidth="1"/>
    <col min="6" max="16384" width="12.54296875" style="48"/>
  </cols>
  <sheetData>
    <row r="1" spans="1:5" ht="19" x14ac:dyDescent="0.4">
      <c r="A1" s="67" t="s">
        <v>56</v>
      </c>
      <c r="B1" s="67"/>
      <c r="C1" s="68"/>
      <c r="D1" s="68"/>
      <c r="E1" s="68"/>
    </row>
    <row r="2" spans="1:5" ht="25.5" customHeight="1" x14ac:dyDescent="0.3">
      <c r="A2" s="217" t="s">
        <v>94</v>
      </c>
      <c r="B2" s="218"/>
      <c r="C2" s="256"/>
      <c r="D2" s="256"/>
      <c r="E2" s="257"/>
    </row>
    <row r="3" spans="1:5" ht="20.149999999999999" customHeight="1" x14ac:dyDescent="0.3">
      <c r="A3" s="217" t="s">
        <v>95</v>
      </c>
      <c r="B3" s="218"/>
      <c r="C3" s="258"/>
      <c r="D3" s="258"/>
      <c r="E3" s="259"/>
    </row>
    <row r="4" spans="1:5" ht="20.149999999999999" customHeight="1" x14ac:dyDescent="0.3">
      <c r="A4" s="217" t="s">
        <v>96</v>
      </c>
      <c r="B4" s="218"/>
      <c r="C4" s="258"/>
      <c r="D4" s="258"/>
      <c r="E4" s="259"/>
    </row>
    <row r="5" spans="1:5" ht="33.75" customHeight="1" x14ac:dyDescent="0.3">
      <c r="A5" s="217" t="s">
        <v>97</v>
      </c>
      <c r="B5" s="218"/>
      <c r="C5" s="251"/>
      <c r="D5" s="251"/>
      <c r="E5" s="252"/>
    </row>
    <row r="6" spans="1:5" ht="39.9" customHeight="1" x14ac:dyDescent="0.3">
      <c r="A6" s="217" t="s">
        <v>57</v>
      </c>
      <c r="B6" s="218"/>
      <c r="C6" s="239"/>
      <c r="D6" s="239"/>
      <c r="E6" s="240"/>
    </row>
    <row r="7" spans="1:5" ht="48.75" customHeight="1" x14ac:dyDescent="0.3">
      <c r="A7" s="217" t="s">
        <v>211</v>
      </c>
      <c r="B7" s="218"/>
      <c r="C7" s="253"/>
      <c r="D7" s="253"/>
      <c r="E7" s="254"/>
    </row>
    <row r="8" spans="1:5" ht="39.9" customHeight="1" x14ac:dyDescent="0.3">
      <c r="A8" s="217" t="s">
        <v>58</v>
      </c>
      <c r="B8" s="218"/>
      <c r="C8" s="239" t="s">
        <v>59</v>
      </c>
      <c r="D8" s="239"/>
      <c r="E8" s="240"/>
    </row>
    <row r="9" spans="1:5" ht="20.149999999999999" customHeight="1" x14ac:dyDescent="0.3">
      <c r="A9" s="230" t="s">
        <v>60</v>
      </c>
      <c r="B9" s="231"/>
      <c r="C9" s="247"/>
      <c r="D9" s="247"/>
      <c r="E9" s="248"/>
    </row>
    <row r="10" spans="1:5" ht="20.149999999999999" customHeight="1" x14ac:dyDescent="0.3">
      <c r="A10" s="249" t="s">
        <v>61</v>
      </c>
      <c r="B10" s="250"/>
      <c r="C10" s="251" t="s">
        <v>62</v>
      </c>
      <c r="D10" s="251"/>
      <c r="E10" s="252"/>
    </row>
    <row r="11" spans="1:5" ht="39.9" customHeight="1" x14ac:dyDescent="0.3">
      <c r="A11" s="217" t="s">
        <v>63</v>
      </c>
      <c r="B11" s="218"/>
      <c r="C11" s="239" t="s">
        <v>64</v>
      </c>
      <c r="D11" s="239"/>
      <c r="E11" s="240"/>
    </row>
    <row r="12" spans="1:5" ht="39.9" customHeight="1" x14ac:dyDescent="0.3">
      <c r="A12" s="217" t="s">
        <v>65</v>
      </c>
      <c r="B12" s="218"/>
      <c r="C12" s="239" t="s">
        <v>66</v>
      </c>
      <c r="D12" s="239"/>
      <c r="E12" s="240"/>
    </row>
    <row r="13" spans="1:5" ht="39.9" customHeight="1" x14ac:dyDescent="0.3">
      <c r="A13" s="217" t="s">
        <v>67</v>
      </c>
      <c r="B13" s="218"/>
      <c r="C13" s="239" t="s">
        <v>68</v>
      </c>
      <c r="D13" s="239"/>
      <c r="E13" s="240"/>
    </row>
    <row r="14" spans="1:5" ht="39.9" customHeight="1" x14ac:dyDescent="0.3">
      <c r="A14" s="217" t="s">
        <v>69</v>
      </c>
      <c r="B14" s="218"/>
      <c r="C14" s="239" t="s">
        <v>70</v>
      </c>
      <c r="D14" s="239"/>
      <c r="E14" s="240"/>
    </row>
    <row r="15" spans="1:5" ht="39.9" customHeight="1" thickBot="1" x14ac:dyDescent="0.35">
      <c r="A15" s="201" t="s">
        <v>213</v>
      </c>
      <c r="B15" s="202"/>
      <c r="C15" s="241" t="s">
        <v>188</v>
      </c>
      <c r="D15" s="241"/>
      <c r="E15" s="242"/>
    </row>
    <row r="16" spans="1:5" ht="30" customHeight="1" x14ac:dyDescent="0.3"/>
    <row r="17" spans="1:5" ht="19.5" thickBot="1" x14ac:dyDescent="0.45">
      <c r="A17" s="67" t="s">
        <v>71</v>
      </c>
      <c r="B17" s="67"/>
      <c r="C17" s="68"/>
      <c r="D17" s="68"/>
      <c r="E17" s="68"/>
    </row>
    <row r="18" spans="1:5" ht="39.9" customHeight="1" x14ac:dyDescent="0.3">
      <c r="A18" s="243" t="s">
        <v>183</v>
      </c>
      <c r="B18" s="244"/>
      <c r="C18" s="245" t="s">
        <v>179</v>
      </c>
      <c r="D18" s="245"/>
      <c r="E18" s="246"/>
    </row>
    <row r="19" spans="1:5" ht="20.149999999999999" customHeight="1" x14ac:dyDescent="0.3">
      <c r="A19" s="230" t="s">
        <v>100</v>
      </c>
      <c r="B19" s="231"/>
      <c r="C19" s="232" t="s">
        <v>72</v>
      </c>
      <c r="D19" s="232"/>
      <c r="E19" s="233"/>
    </row>
    <row r="20" spans="1:5" ht="39.9" customHeight="1" x14ac:dyDescent="0.3">
      <c r="A20" s="217" t="s">
        <v>73</v>
      </c>
      <c r="B20" s="218"/>
      <c r="C20" s="234" t="s">
        <v>72</v>
      </c>
      <c r="D20" s="234"/>
      <c r="E20" s="235"/>
    </row>
    <row r="21" spans="1:5" ht="39.9" customHeight="1" x14ac:dyDescent="0.3">
      <c r="A21" s="217" t="s">
        <v>74</v>
      </c>
      <c r="B21" s="218"/>
      <c r="C21" s="236" t="s">
        <v>186</v>
      </c>
      <c r="D21" s="237"/>
      <c r="E21" s="238"/>
    </row>
    <row r="22" spans="1:5" ht="39.9" customHeight="1" x14ac:dyDescent="0.3">
      <c r="A22" s="217" t="s">
        <v>185</v>
      </c>
      <c r="B22" s="218"/>
      <c r="C22" s="226" t="s">
        <v>72</v>
      </c>
      <c r="D22" s="226"/>
      <c r="E22" s="227"/>
    </row>
    <row r="23" spans="1:5" ht="20.149999999999999" customHeight="1" x14ac:dyDescent="0.3">
      <c r="A23" s="217" t="s">
        <v>75</v>
      </c>
      <c r="B23" s="218"/>
      <c r="C23" s="115"/>
      <c r="D23" s="228" t="s">
        <v>98</v>
      </c>
      <c r="E23" s="229"/>
    </row>
    <row r="24" spans="1:5" ht="39.9" customHeight="1" x14ac:dyDescent="0.3">
      <c r="A24" s="217" t="s">
        <v>122</v>
      </c>
      <c r="B24" s="218"/>
      <c r="C24" s="219"/>
      <c r="D24" s="219"/>
      <c r="E24" s="220"/>
    </row>
    <row r="25" spans="1:5" ht="39.9" customHeight="1" x14ac:dyDescent="0.3">
      <c r="A25" s="217" t="s">
        <v>218</v>
      </c>
      <c r="B25" s="218"/>
      <c r="C25" s="219"/>
      <c r="D25" s="219"/>
      <c r="E25" s="220"/>
    </row>
    <row r="26" spans="1:5" ht="39.9" customHeight="1" x14ac:dyDescent="0.3">
      <c r="A26" s="217" t="s">
        <v>76</v>
      </c>
      <c r="B26" s="218"/>
      <c r="C26" s="219"/>
      <c r="D26" s="219"/>
      <c r="E26" s="220"/>
    </row>
    <row r="27" spans="1:5" ht="39.9" customHeight="1" x14ac:dyDescent="0.3">
      <c r="A27" s="221" t="s">
        <v>77</v>
      </c>
      <c r="B27" s="222"/>
      <c r="C27" s="223"/>
      <c r="D27" s="224"/>
      <c r="E27" s="225"/>
    </row>
    <row r="28" spans="1:5" ht="39.9" customHeight="1" thickBot="1" x14ac:dyDescent="0.35">
      <c r="A28" s="201" t="s">
        <v>78</v>
      </c>
      <c r="B28" s="202"/>
      <c r="C28" s="63" t="s">
        <v>93</v>
      </c>
      <c r="D28" s="203"/>
      <c r="E28" s="204"/>
    </row>
    <row r="29" spans="1:5" ht="69.75" customHeight="1" thickBot="1" x14ac:dyDescent="0.35">
      <c r="A29" s="205" t="s">
        <v>210</v>
      </c>
      <c r="B29" s="206"/>
      <c r="C29" s="207" t="s">
        <v>72</v>
      </c>
      <c r="D29" s="207"/>
      <c r="E29" s="208"/>
    </row>
    <row r="30" spans="1:5" ht="54" customHeight="1" thickBot="1" x14ac:dyDescent="0.45">
      <c r="A30" s="47" t="s">
        <v>79</v>
      </c>
      <c r="B30" s="50"/>
    </row>
    <row r="31" spans="1:5" ht="15.5" x14ac:dyDescent="0.3">
      <c r="A31" s="64" t="s">
        <v>45</v>
      </c>
      <c r="B31" s="65" t="s">
        <v>123</v>
      </c>
      <c r="C31" s="209" t="s">
        <v>80</v>
      </c>
      <c r="D31" s="210"/>
      <c r="E31" s="66" t="s">
        <v>219</v>
      </c>
    </row>
    <row r="32" spans="1:5" ht="15.5" x14ac:dyDescent="0.3">
      <c r="A32" s="51"/>
      <c r="B32" s="52"/>
      <c r="C32" s="211"/>
      <c r="D32" s="212"/>
      <c r="E32" s="53"/>
    </row>
    <row r="33" spans="1:7" ht="15.5" x14ac:dyDescent="0.3">
      <c r="A33" s="51"/>
      <c r="B33" s="52"/>
      <c r="C33" s="197"/>
      <c r="D33" s="213"/>
      <c r="E33" s="53"/>
    </row>
    <row r="34" spans="1:7" ht="16" thickBot="1" x14ac:dyDescent="0.35">
      <c r="A34" s="54"/>
      <c r="B34" s="55"/>
      <c r="C34" s="189"/>
      <c r="D34" s="214"/>
      <c r="E34" s="56"/>
    </row>
    <row r="35" spans="1:7" ht="30" customHeight="1" x14ac:dyDescent="0.3"/>
    <row r="36" spans="1:7" ht="19.5" thickBot="1" x14ac:dyDescent="0.45">
      <c r="A36" s="194" t="s">
        <v>81</v>
      </c>
      <c r="B36" s="194"/>
      <c r="C36" s="194"/>
    </row>
    <row r="37" spans="1:7" ht="31" x14ac:dyDescent="0.3">
      <c r="A37" s="64" t="s">
        <v>4</v>
      </c>
      <c r="B37" s="65" t="s">
        <v>82</v>
      </c>
      <c r="C37" s="215" t="s">
        <v>9</v>
      </c>
      <c r="D37" s="215"/>
      <c r="E37" s="216"/>
    </row>
    <row r="38" spans="1:7" ht="15.5" x14ac:dyDescent="0.3">
      <c r="A38" s="51"/>
      <c r="B38" s="52"/>
      <c r="C38" s="199"/>
      <c r="D38" s="199"/>
      <c r="E38" s="200"/>
    </row>
    <row r="39" spans="1:7" ht="15.5" x14ac:dyDescent="0.3">
      <c r="A39" s="51"/>
      <c r="B39" s="52"/>
      <c r="C39" s="199"/>
      <c r="D39" s="199"/>
      <c r="E39" s="200"/>
    </row>
    <row r="40" spans="1:7" ht="16" thickBot="1" x14ac:dyDescent="0.35">
      <c r="A40" s="54"/>
      <c r="B40" s="55"/>
      <c r="C40" s="192"/>
      <c r="D40" s="192"/>
      <c r="E40" s="193"/>
    </row>
    <row r="41" spans="1:7" ht="15.5" x14ac:dyDescent="0.3">
      <c r="A41" s="116"/>
      <c r="B41" s="116"/>
      <c r="C41" s="117"/>
      <c r="D41" s="117"/>
      <c r="E41" s="117"/>
    </row>
    <row r="42" spans="1:7" ht="19" x14ac:dyDescent="0.4">
      <c r="A42" s="194" t="s">
        <v>220</v>
      </c>
      <c r="B42" s="194"/>
      <c r="C42" s="194"/>
      <c r="D42" s="117"/>
      <c r="E42" s="117"/>
    </row>
    <row r="43" spans="1:7" s="49" customFormat="1" ht="30" customHeight="1" x14ac:dyDescent="0.3">
      <c r="A43" s="186" t="s">
        <v>225</v>
      </c>
      <c r="B43" s="186"/>
      <c r="C43" s="186"/>
      <c r="D43" s="186"/>
      <c r="E43" s="186"/>
      <c r="F43" s="186"/>
      <c r="G43" s="186"/>
    </row>
    <row r="44" spans="1:7" ht="15.5" x14ac:dyDescent="0.3">
      <c r="A44" s="118" t="s">
        <v>4</v>
      </c>
      <c r="B44" s="119" t="s">
        <v>222</v>
      </c>
      <c r="C44" s="119" t="s">
        <v>223</v>
      </c>
      <c r="D44" s="195" t="s">
        <v>224</v>
      </c>
      <c r="E44" s="196"/>
    </row>
    <row r="45" spans="1:7" ht="170.5" x14ac:dyDescent="0.3">
      <c r="A45" s="51" t="s">
        <v>226</v>
      </c>
      <c r="B45" s="52"/>
      <c r="C45" s="52"/>
      <c r="D45" s="197"/>
      <c r="E45" s="198"/>
    </row>
    <row r="46" spans="1:7" ht="140" thickBot="1" x14ac:dyDescent="0.35">
      <c r="A46" s="54" t="s">
        <v>221</v>
      </c>
      <c r="B46" s="55"/>
      <c r="C46" s="55"/>
      <c r="D46" s="189"/>
      <c r="E46" s="190"/>
    </row>
    <row r="47" spans="1:7" ht="15.5" x14ac:dyDescent="0.3">
      <c r="A47" s="116"/>
      <c r="B47" s="116"/>
      <c r="C47" s="117"/>
      <c r="D47" s="117"/>
      <c r="E47" s="117"/>
    </row>
    <row r="48" spans="1:7" s="49" customFormat="1" ht="40.5" customHeight="1" thickBot="1" x14ac:dyDescent="0.35">
      <c r="A48" s="186" t="s">
        <v>227</v>
      </c>
      <c r="B48" s="186"/>
      <c r="C48" s="186"/>
      <c r="D48" s="186"/>
      <c r="E48" s="186"/>
      <c r="F48" s="186"/>
      <c r="G48" s="186"/>
    </row>
    <row r="49" spans="1:21" ht="15.5" x14ac:dyDescent="0.3">
      <c r="A49" s="64" t="s">
        <v>4</v>
      </c>
      <c r="B49" s="65" t="s">
        <v>222</v>
      </c>
      <c r="C49" s="65" t="s">
        <v>223</v>
      </c>
      <c r="D49" s="187" t="s">
        <v>224</v>
      </c>
      <c r="E49" s="188"/>
    </row>
    <row r="50" spans="1:21" ht="140" thickBot="1" x14ac:dyDescent="0.35">
      <c r="A50" s="54" t="s">
        <v>228</v>
      </c>
      <c r="B50" s="55"/>
      <c r="C50" s="55"/>
      <c r="D50" s="189"/>
      <c r="E50" s="190"/>
    </row>
    <row r="51" spans="1:21" ht="15.5" x14ac:dyDescent="0.3">
      <c r="A51" s="116"/>
      <c r="B51" s="116"/>
      <c r="C51" s="117"/>
      <c r="D51" s="117"/>
      <c r="E51" s="117"/>
    </row>
    <row r="53" spans="1:21" ht="19" x14ac:dyDescent="0.4">
      <c r="A53" s="194" t="s">
        <v>101</v>
      </c>
      <c r="B53" s="194"/>
      <c r="C53" s="194"/>
    </row>
    <row r="54" spans="1:21" s="123" customFormat="1" ht="131.25" customHeight="1" x14ac:dyDescent="0.25">
      <c r="A54" s="114" t="s">
        <v>102</v>
      </c>
      <c r="B54" s="114" t="s">
        <v>103</v>
      </c>
      <c r="C54" s="114" t="s">
        <v>104</v>
      </c>
      <c r="D54" s="114" t="s">
        <v>105</v>
      </c>
      <c r="E54" s="114" t="s">
        <v>106</v>
      </c>
      <c r="F54" s="114" t="s">
        <v>107</v>
      </c>
      <c r="G54" s="114" t="s">
        <v>108</v>
      </c>
      <c r="H54" s="114" t="s">
        <v>109</v>
      </c>
      <c r="I54" s="120" t="s">
        <v>110</v>
      </c>
      <c r="J54" s="121" t="s">
        <v>111</v>
      </c>
      <c r="K54" s="114" t="s">
        <v>112</v>
      </c>
      <c r="L54" s="114" t="s">
        <v>113</v>
      </c>
      <c r="M54" s="120" t="s">
        <v>114</v>
      </c>
      <c r="N54" s="121" t="s">
        <v>115</v>
      </c>
      <c r="O54" s="114" t="s">
        <v>91</v>
      </c>
      <c r="P54" s="122" t="s">
        <v>116</v>
      </c>
      <c r="Q54" s="114" t="s">
        <v>117</v>
      </c>
      <c r="R54" s="114" t="s">
        <v>218</v>
      </c>
      <c r="S54" s="114" t="s">
        <v>76</v>
      </c>
      <c r="T54" s="114" t="s">
        <v>118</v>
      </c>
      <c r="U54" s="114" t="s">
        <v>119</v>
      </c>
    </row>
    <row r="55" spans="1:21" x14ac:dyDescent="0.3">
      <c r="D55" s="70" t="s">
        <v>120</v>
      </c>
      <c r="E55" s="70" t="s">
        <v>121</v>
      </c>
      <c r="F55" s="48" t="str">
        <f>C18</f>
        <v>FULL</v>
      </c>
      <c r="H55" s="71">
        <f>C5</f>
        <v>0</v>
      </c>
      <c r="I55" s="71" t="str">
        <f>Tester</f>
        <v>     </v>
      </c>
      <c r="J55" s="94"/>
      <c r="K55" s="94"/>
      <c r="L55" s="94"/>
      <c r="M55" s="94" t="str">
        <f>TestDate</f>
        <v>     </v>
      </c>
      <c r="N55" s="70" t="s">
        <v>189</v>
      </c>
      <c r="O55" s="71">
        <f>TestResult</f>
        <v>0</v>
      </c>
      <c r="P55" s="71">
        <f>C23</f>
        <v>0</v>
      </c>
      <c r="Q55" s="71">
        <f>$C$24</f>
        <v>0</v>
      </c>
      <c r="R55" s="71">
        <f>$C$25</f>
        <v>0</v>
      </c>
      <c r="S55" s="71">
        <f>$C$26</f>
        <v>0</v>
      </c>
      <c r="T55" s="71">
        <f>$D$28</f>
        <v>0</v>
      </c>
    </row>
  </sheetData>
  <mergeCells count="70">
    <mergeCell ref="A2:B2"/>
    <mergeCell ref="C2:E2"/>
    <mergeCell ref="A3:B3"/>
    <mergeCell ref="C3:E3"/>
    <mergeCell ref="A4:B4"/>
    <mergeCell ref="C4:E4"/>
    <mergeCell ref="A5:B5"/>
    <mergeCell ref="C5:E5"/>
    <mergeCell ref="A6:B6"/>
    <mergeCell ref="C6:E6"/>
    <mergeCell ref="A7:B7"/>
    <mergeCell ref="C7:E7"/>
    <mergeCell ref="A8:B8"/>
    <mergeCell ref="C8:E8"/>
    <mergeCell ref="A9:B9"/>
    <mergeCell ref="C9:E9"/>
    <mergeCell ref="A10:B10"/>
    <mergeCell ref="C10:E10"/>
    <mergeCell ref="A11:B11"/>
    <mergeCell ref="C11:E11"/>
    <mergeCell ref="A12:B12"/>
    <mergeCell ref="C12:E12"/>
    <mergeCell ref="A13:B13"/>
    <mergeCell ref="C13:E13"/>
    <mergeCell ref="A14:B14"/>
    <mergeCell ref="C14:E14"/>
    <mergeCell ref="A15:B15"/>
    <mergeCell ref="C15:E15"/>
    <mergeCell ref="A18:B18"/>
    <mergeCell ref="C18:E18"/>
    <mergeCell ref="A19:B19"/>
    <mergeCell ref="C19:E19"/>
    <mergeCell ref="A20:B20"/>
    <mergeCell ref="C20:E20"/>
    <mergeCell ref="A21:B21"/>
    <mergeCell ref="C21:E21"/>
    <mergeCell ref="A22:B22"/>
    <mergeCell ref="C22:E22"/>
    <mergeCell ref="A23:B23"/>
    <mergeCell ref="D23:E23"/>
    <mergeCell ref="A24:B24"/>
    <mergeCell ref="C24:E24"/>
    <mergeCell ref="A25:B25"/>
    <mergeCell ref="C25:E25"/>
    <mergeCell ref="A26:B26"/>
    <mergeCell ref="C26:E26"/>
    <mergeCell ref="A27:B27"/>
    <mergeCell ref="C27:E27"/>
    <mergeCell ref="C39:E39"/>
    <mergeCell ref="A28:B28"/>
    <mergeCell ref="D28:E28"/>
    <mergeCell ref="A29:B29"/>
    <mergeCell ref="C29:E29"/>
    <mergeCell ref="C31:D31"/>
    <mergeCell ref="C32:D32"/>
    <mergeCell ref="C33:D33"/>
    <mergeCell ref="C34:D34"/>
    <mergeCell ref="A36:C36"/>
    <mergeCell ref="C37:E37"/>
    <mergeCell ref="C38:E38"/>
    <mergeCell ref="A48:G48"/>
    <mergeCell ref="D49:E49"/>
    <mergeCell ref="D50:E50"/>
    <mergeCell ref="A53:C53"/>
    <mergeCell ref="C40:E40"/>
    <mergeCell ref="A42:C42"/>
    <mergeCell ref="A43:G43"/>
    <mergeCell ref="D44:E44"/>
    <mergeCell ref="D45:E45"/>
    <mergeCell ref="D46:E46"/>
  </mergeCells>
  <conditionalFormatting sqref="N54:O54">
    <cfRule type="cellIs" dxfId="2" priority="1" stopIfTrue="1" operator="equal">
      <formula>"passed"</formula>
    </cfRule>
    <cfRule type="cellIs" dxfId="1" priority="2" stopIfTrue="1" operator="equal">
      <formula>"cond. acc."</formula>
    </cfRule>
    <cfRule type="cellIs" dxfId="0" priority="3" stopIfTrue="1" operator="equal">
      <formula>"failed"</formula>
    </cfRule>
  </conditionalFormatting>
  <dataValidations count="7">
    <dataValidation type="list" allowBlank="1" showInputMessage="1" showErrorMessage="1" sqref="C21:E21" xr:uid="{00000000-0002-0000-0600-000000000000}">
      <formula1>TestScope</formula1>
    </dataValidation>
    <dataValidation type="list" allowBlank="1" showInputMessage="1" showErrorMessage="1" sqref="C18:E18" xr:uid="{00000000-0002-0000-0600-000001000000}">
      <formula1>TypeOfTest</formula1>
    </dataValidation>
    <dataValidation type="list" allowBlank="1" showInputMessage="1" showErrorMessage="1" sqref="F55" xr:uid="{00000000-0002-0000-0600-000002000000}">
      <formula1>TestTypeTSO</formula1>
    </dataValidation>
    <dataValidation type="list" errorStyle="warning" allowBlank="1" showInputMessage="1" showErrorMessage="1" errorTitle="Bitte Wert aus Liste auswählen!" promptTitle="Bitte Wert aus Liste auswählen!" sqref="E54" xr:uid="{00000000-0002-0000-0600-000003000000}">
      <formula1>$E$992:$E$1019</formula1>
    </dataValidation>
    <dataValidation type="list" errorStyle="warning" allowBlank="1" showInputMessage="1" showErrorMessage="1" errorTitle="Bitte Wert aus Liste auswählen!" promptTitle="Bitte Wert aus Liste auswählen!" sqref="F54" xr:uid="{00000000-0002-0000-0600-000004000000}">
      <formula1>$F$991:$F$994</formula1>
    </dataValidation>
    <dataValidation type="list" errorStyle="warning" allowBlank="1" showInputMessage="1" showErrorMessage="1" errorTitle="Bitte aus der Liste auswählen!" promptTitle="Bitte aus der Liste auswählen!" sqref="N54" xr:uid="{00000000-0002-0000-0600-000005000000}">
      <formula1>#REF!</formula1>
    </dataValidation>
    <dataValidation type="list" allowBlank="1" showInputMessage="1" showErrorMessage="1" sqref="C27:E27" xr:uid="{00000000-0002-0000-0600-000006000000}">
      <formula1>result_list</formula1>
    </dataValidation>
  </dataValidations>
  <pageMargins left="0.78740157480314965" right="0.19685039370078741" top="0.98425196850393704" bottom="0.98425196850393704" header="0.51181102362204722" footer="0.51181102362204722"/>
  <pageSetup paperSize="9" scale="90" orientation="portrait" r:id="rId1"/>
  <headerFooter alignWithMargins="0">
    <oddFooter>&amp;C_x000D_&amp;1#&amp;"Arial"&amp;8&amp;K000000 Internal</oddFooter>
  </headerFooter>
  <rowBreaks count="2" manualBreakCount="2">
    <brk id="16" max="16383" man="1"/>
    <brk id="29" max="16383" man="1"/>
  </rowBreaks>
  <drawing r:id="rId2"/>
  <legacyDrawing r:id="rId3"/>
  <controls>
    <mc:AlternateContent xmlns:mc="http://schemas.openxmlformats.org/markup-compatibility/2006">
      <mc:Choice Requires="x14">
        <control shapeId="36865" r:id="rId4" name="CommandButton1">
          <controlPr defaultSize="0" autoLine="0" r:id="rId5">
            <anchor moveWithCells="1">
              <from>
                <xdr:col>5</xdr:col>
                <xdr:colOff>406400</xdr:colOff>
                <xdr:row>1</xdr:row>
                <xdr:rowOff>76200</xdr:rowOff>
              </from>
              <to>
                <xdr:col>8</xdr:col>
                <xdr:colOff>571500</xdr:colOff>
                <xdr:row>3</xdr:row>
                <xdr:rowOff>152400</xdr:rowOff>
              </to>
            </anchor>
          </controlPr>
        </control>
      </mc:Choice>
      <mc:Fallback>
        <control shapeId="36865" r:id="rId4"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H10"/>
  <sheetViews>
    <sheetView workbookViewId="0">
      <selection activeCell="D9" sqref="D9"/>
    </sheetView>
  </sheetViews>
  <sheetFormatPr defaultColWidth="12.54296875" defaultRowHeight="14" x14ac:dyDescent="0.3"/>
  <cols>
    <col min="1" max="5" width="12.54296875" style="48"/>
    <col min="6" max="6" width="15.54296875" style="48" bestFit="1" customWidth="1"/>
    <col min="7" max="16384" width="12.54296875" style="48"/>
  </cols>
  <sheetData>
    <row r="1" spans="1:8" x14ac:dyDescent="0.3">
      <c r="B1" s="48" t="s">
        <v>83</v>
      </c>
      <c r="C1" s="57" t="s">
        <v>84</v>
      </c>
      <c r="D1" s="69" t="s">
        <v>84</v>
      </c>
      <c r="F1" s="92" t="s">
        <v>179</v>
      </c>
      <c r="G1" s="92" t="s">
        <v>179</v>
      </c>
      <c r="H1" s="93" t="s">
        <v>186</v>
      </c>
    </row>
    <row r="2" spans="1:8" x14ac:dyDescent="0.3">
      <c r="B2" s="48" t="s">
        <v>85</v>
      </c>
      <c r="C2" s="57" t="s">
        <v>86</v>
      </c>
      <c r="D2" s="48" t="s">
        <v>99</v>
      </c>
      <c r="F2" s="92" t="s">
        <v>180</v>
      </c>
      <c r="G2" s="92" t="s">
        <v>180</v>
      </c>
      <c r="H2" s="69" t="s">
        <v>187</v>
      </c>
    </row>
    <row r="3" spans="1:8" x14ac:dyDescent="0.3">
      <c r="A3" s="48">
        <v>12</v>
      </c>
      <c r="B3" s="48" t="s">
        <v>87</v>
      </c>
      <c r="C3" s="57" t="s">
        <v>88</v>
      </c>
      <c r="D3" s="48" t="s">
        <v>217</v>
      </c>
      <c r="F3" s="92" t="s">
        <v>181</v>
      </c>
      <c r="G3" s="92" t="s">
        <v>181</v>
      </c>
    </row>
    <row r="4" spans="1:8" x14ac:dyDescent="0.3">
      <c r="A4" s="48">
        <v>0</v>
      </c>
      <c r="B4" s="48" t="s">
        <v>89</v>
      </c>
      <c r="F4" s="92" t="s">
        <v>202</v>
      </c>
      <c r="G4" s="92" t="s">
        <v>182</v>
      </c>
    </row>
    <row r="5" spans="1:8" x14ac:dyDescent="0.3">
      <c r="F5" s="92" t="s">
        <v>203</v>
      </c>
    </row>
    <row r="6" spans="1:8" x14ac:dyDescent="0.3">
      <c r="F6" s="92" t="s">
        <v>204</v>
      </c>
    </row>
    <row r="7" spans="1:8" x14ac:dyDescent="0.3">
      <c r="F7" s="92" t="s">
        <v>184</v>
      </c>
    </row>
    <row r="8" spans="1:8" x14ac:dyDescent="0.3">
      <c r="F8" s="92" t="s">
        <v>201</v>
      </c>
    </row>
    <row r="9" spans="1:8" x14ac:dyDescent="0.3">
      <c r="F9" s="92" t="s">
        <v>182</v>
      </c>
    </row>
    <row r="10" spans="1:8" x14ac:dyDescent="0.3">
      <c r="F10" s="92" t="s">
        <v>200</v>
      </c>
    </row>
  </sheetData>
  <phoneticPr fontId="6" type="noConversion"/>
  <dataValidations count="1">
    <dataValidation errorStyle="warning" allowBlank="1" showInputMessage="1" showErrorMessage="1" errorTitle="Bitte Wert aus Liste auswählen!" promptTitle="Bitte Wert aus Liste auswählen!" sqref="F1:G3" xr:uid="{00000000-0002-0000-0700-000000000000}"/>
  </dataValidations>
  <pageMargins left="0.78740157499999996" right="0.78740157499999996" top="0.984251969" bottom="0.984251969" header="0.4921259845" footer="0.4921259845"/>
  <pageSetup paperSize="9" orientation="portrait" r:id="rId1"/>
  <headerFooter alignWithMargins="0">
    <oddFooter>&amp;C_x000D_&amp;1#&amp;"Arial"&amp;8&amp;K000000 Internal</oddFooter>
  </headerFooter>
  <legacyDrawing r:id="rId2"/>
</worksheet>
</file>

<file path=docMetadata/LabelInfo.xml><?xml version="1.0" encoding="utf-8"?>
<clbl:labelList xmlns:clbl="http://schemas.microsoft.com/office/2020/mipLabelMetadata">
  <clbl:label id="{6006a9c5-d130-408c-bc8e-3b5ecdb17aa0}" enabled="1" method="Standard" siteId="{8d4b558f-7b2e-40ba-ad1f-e04d79e6265a}" contentBits="2"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160</vt:i4>
      </vt:variant>
    </vt:vector>
  </HeadingPairs>
  <TitlesOfParts>
    <vt:vector size="175" baseType="lpstr">
      <vt:lpstr>History</vt:lpstr>
      <vt:lpstr>Guidelines</vt:lpstr>
      <vt:lpstr>Scope, Approach, Environment</vt:lpstr>
      <vt:lpstr>Tests</vt:lpstr>
      <vt:lpstr>Traceability Matrix</vt:lpstr>
      <vt:lpstr>Test Report template (example)</vt:lpstr>
      <vt:lpstr>Test 1 2024-05-17</vt:lpstr>
      <vt:lpstr>__test_template__ (3)</vt:lpstr>
      <vt:lpstr>Test 2 2024-08-06</vt:lpstr>
      <vt:lpstr>Test 3 2024-09-03</vt:lpstr>
      <vt:lpstr>Test 4 2024-09-20</vt:lpstr>
      <vt:lpstr>Test 5 2024-09-29 (2)</vt:lpstr>
      <vt:lpstr>Test 6 2025-11-10</vt:lpstr>
      <vt:lpstr>__test_template__</vt:lpstr>
      <vt:lpstr>__data__</vt:lpstr>
      <vt:lpstr>'Scope, Approach, Environment'!_Toc135814271</vt:lpstr>
      <vt:lpstr>'Scope, Approach, Environment'!_Toc135814272</vt:lpstr>
      <vt:lpstr>'Scope, Approach, Environment'!_Toc135814273</vt:lpstr>
      <vt:lpstr>'Scope, Approach, Environment'!_Toc135814274</vt:lpstr>
      <vt:lpstr>'Scope, Approach, Environment'!_Toc135814275</vt:lpstr>
      <vt:lpstr>'Scope, Approach, Environment'!_Toc135814276</vt:lpstr>
      <vt:lpstr>'Scope, Approach, Environment'!_Toc135814277</vt:lpstr>
      <vt:lpstr>'Scope, Approach, Environment'!_Toc135814278</vt:lpstr>
      <vt:lpstr>'Scope, Approach, Environment'!_Toc135814279</vt:lpstr>
      <vt:lpstr>'Scope, Approach, Environment'!_Toc135814280</vt:lpstr>
      <vt:lpstr>'Scope, Approach, Environment'!_Toc135814281</vt:lpstr>
      <vt:lpstr>__test_template__!_Toc136840245</vt:lpstr>
      <vt:lpstr>'__test_template__ (3)'!_Toc136840245</vt:lpstr>
      <vt:lpstr>'Test 1 2024-05-17'!_Toc136840245</vt:lpstr>
      <vt:lpstr>'Test 2 2024-08-06'!_Toc136840245</vt:lpstr>
      <vt:lpstr>'Test 3 2024-09-03'!_Toc136840245</vt:lpstr>
      <vt:lpstr>'Test 4 2024-09-20'!_Toc136840245</vt:lpstr>
      <vt:lpstr>'Test 5 2024-09-29 (2)'!_Toc136840245</vt:lpstr>
      <vt:lpstr>'Test 6 2025-11-10'!_Toc136840245</vt:lpstr>
      <vt:lpstr>'Test Report template (example)'!_Toc136840245</vt:lpstr>
      <vt:lpstr>__test_template__!_Toc136840246</vt:lpstr>
      <vt:lpstr>'__test_template__ (3)'!_Toc136840246</vt:lpstr>
      <vt:lpstr>'Test 1 2024-05-17'!_Toc136840246</vt:lpstr>
      <vt:lpstr>'Test 2 2024-08-06'!_Toc136840246</vt:lpstr>
      <vt:lpstr>'Test 3 2024-09-03'!_Toc136840246</vt:lpstr>
      <vt:lpstr>'Test 4 2024-09-20'!_Toc136840246</vt:lpstr>
      <vt:lpstr>'Test 5 2024-09-29 (2)'!_Toc136840246</vt:lpstr>
      <vt:lpstr>'Test 6 2025-11-10'!_Toc136840246</vt:lpstr>
      <vt:lpstr>'Test Report template (example)'!_Toc136840246</vt:lpstr>
      <vt:lpstr>__test_template__!_Toc136840249</vt:lpstr>
      <vt:lpstr>'__test_template__ (3)'!_Toc136840249</vt:lpstr>
      <vt:lpstr>'Test 1 2024-05-17'!_Toc136840249</vt:lpstr>
      <vt:lpstr>'Test 2 2024-08-06'!_Toc136840249</vt:lpstr>
      <vt:lpstr>'Test 3 2024-09-03'!_Toc136840249</vt:lpstr>
      <vt:lpstr>'Test 4 2024-09-20'!_Toc136840249</vt:lpstr>
      <vt:lpstr>'Test 5 2024-09-29 (2)'!_Toc136840249</vt:lpstr>
      <vt:lpstr>'Test 6 2025-11-10'!_Toc136840249</vt:lpstr>
      <vt:lpstr>'Test Report template (example)'!_Toc136840249</vt:lpstr>
      <vt:lpstr>__test_template__!_Toc6914365</vt:lpstr>
      <vt:lpstr>'__test_template__ (3)'!_Toc6914365</vt:lpstr>
      <vt:lpstr>'Test 1 2024-05-17'!_Toc6914365</vt:lpstr>
      <vt:lpstr>'Test 2 2024-08-06'!_Toc6914365</vt:lpstr>
      <vt:lpstr>'Test 3 2024-09-03'!_Toc6914365</vt:lpstr>
      <vt:lpstr>'Test 4 2024-09-20'!_Toc6914365</vt:lpstr>
      <vt:lpstr>'Test 5 2024-09-29 (2)'!_Toc6914365</vt:lpstr>
      <vt:lpstr>'Test 6 2025-11-10'!_Toc6914365</vt:lpstr>
      <vt:lpstr>'Test Report template (example)'!_Toc6914365</vt:lpstr>
      <vt:lpstr>__test_template__!AppliedCompilerSwitches</vt:lpstr>
      <vt:lpstr>'__test_template__ (3)'!AppliedCompilerSwitches</vt:lpstr>
      <vt:lpstr>'Test 1 2024-05-17'!AppliedCompilerSwitches</vt:lpstr>
      <vt:lpstr>'Test 2 2024-08-06'!AppliedCompilerSwitches</vt:lpstr>
      <vt:lpstr>'Test 3 2024-09-03'!AppliedCompilerSwitches</vt:lpstr>
      <vt:lpstr>'Test 4 2024-09-20'!AppliedCompilerSwitches</vt:lpstr>
      <vt:lpstr>'Test 5 2024-09-29 (2)'!AppliedCompilerSwitches</vt:lpstr>
      <vt:lpstr>'Test 6 2025-11-10'!AppliedCompilerSwitches</vt:lpstr>
      <vt:lpstr>'Test Report template (example)'!AppliedCompilerSwitches</vt:lpstr>
      <vt:lpstr>__test_template__!C0</vt:lpstr>
      <vt:lpstr>'__test_template__ (3)'!C0</vt:lpstr>
      <vt:lpstr>'Test 1 2024-05-17'!C0</vt:lpstr>
      <vt:lpstr>'Test 2 2024-08-06'!C0</vt:lpstr>
      <vt:lpstr>'Test 3 2024-09-03'!C0</vt:lpstr>
      <vt:lpstr>'Test 4 2024-09-20'!C0</vt:lpstr>
      <vt:lpstr>'Test 5 2024-09-29 (2)'!C0</vt:lpstr>
      <vt:lpstr>'Test 6 2025-11-10'!C0</vt:lpstr>
      <vt:lpstr>'Test Report template (example)'!C0</vt:lpstr>
      <vt:lpstr>__test_template__!EEPROMSettings</vt:lpstr>
      <vt:lpstr>'__test_template__ (3)'!EEPROMSettings</vt:lpstr>
      <vt:lpstr>'Test 1 2024-05-17'!EEPROMSettings</vt:lpstr>
      <vt:lpstr>'Test 2 2024-08-06'!EEPROMSettings</vt:lpstr>
      <vt:lpstr>'Test 3 2024-09-03'!EEPROMSettings</vt:lpstr>
      <vt:lpstr>'Test 4 2024-09-20'!EEPROMSettings</vt:lpstr>
      <vt:lpstr>'Test 5 2024-09-29 (2)'!EEPROMSettings</vt:lpstr>
      <vt:lpstr>'Test 6 2025-11-10'!EEPROMSettings</vt:lpstr>
      <vt:lpstr>'Test Report template (example)'!EEPROMSettings</vt:lpstr>
      <vt:lpstr>__test_template__!EmulatorTypeAndRevision</vt:lpstr>
      <vt:lpstr>'__test_template__ (3)'!EmulatorTypeAndRevision</vt:lpstr>
      <vt:lpstr>'Test 1 2024-05-17'!EmulatorTypeAndRevision</vt:lpstr>
      <vt:lpstr>'Test 2 2024-08-06'!EmulatorTypeAndRevision</vt:lpstr>
      <vt:lpstr>'Test 3 2024-09-03'!EmulatorTypeAndRevision</vt:lpstr>
      <vt:lpstr>'Test 4 2024-09-20'!EmulatorTypeAndRevision</vt:lpstr>
      <vt:lpstr>'Test 5 2024-09-29 (2)'!EmulatorTypeAndRevision</vt:lpstr>
      <vt:lpstr>'Test 6 2025-11-10'!EmulatorTypeAndRevision</vt:lpstr>
      <vt:lpstr>'Test Report template (example)'!EmulatorTypeAndRevision</vt:lpstr>
      <vt:lpstr>__test_template__!IDENameAndRevision</vt:lpstr>
      <vt:lpstr>'__test_template__ (3)'!IDENameAndRevision</vt:lpstr>
      <vt:lpstr>'Test 1 2024-05-17'!IDENameAndRevision</vt:lpstr>
      <vt:lpstr>'Test 2 2024-08-06'!IDENameAndRevision</vt:lpstr>
      <vt:lpstr>'Test 3 2024-09-03'!IDENameAndRevision</vt:lpstr>
      <vt:lpstr>'Test 4 2024-09-20'!IDENameAndRevision</vt:lpstr>
      <vt:lpstr>'Test 5 2024-09-29 (2)'!IDENameAndRevision</vt:lpstr>
      <vt:lpstr>'Test 6 2025-11-10'!IDENameAndRevision</vt:lpstr>
      <vt:lpstr>'Test Report template (example)'!IDENameAndRevision</vt:lpstr>
      <vt:lpstr>__test_template__!MicrocontrollerTypeAndRevision</vt:lpstr>
      <vt:lpstr>'__test_template__ (3)'!MicrocontrollerTypeAndRevision</vt:lpstr>
      <vt:lpstr>'Test 1 2024-05-17'!MicrocontrollerTypeAndRevision</vt:lpstr>
      <vt:lpstr>'Test 2 2024-08-06'!MicrocontrollerTypeAndRevision</vt:lpstr>
      <vt:lpstr>'Test 3 2024-09-03'!MicrocontrollerTypeAndRevision</vt:lpstr>
      <vt:lpstr>'Test 4 2024-09-20'!MicrocontrollerTypeAndRevision</vt:lpstr>
      <vt:lpstr>'Test 5 2024-09-29 (2)'!MicrocontrollerTypeAndRevision</vt:lpstr>
      <vt:lpstr>'Test 6 2025-11-10'!MicrocontrollerTypeAndRevision</vt:lpstr>
      <vt:lpstr>'Test Report template (example)'!MicrocontrollerTypeAndRevision</vt:lpstr>
      <vt:lpstr>__test_template__!NameAndRevisionOfModule</vt:lpstr>
      <vt:lpstr>'__test_template__ (3)'!NameAndRevisionOfModule</vt:lpstr>
      <vt:lpstr>'Test 1 2024-05-17'!NameAndRevisionOfModule</vt:lpstr>
      <vt:lpstr>'Test 2 2024-08-06'!NameAndRevisionOfModule</vt:lpstr>
      <vt:lpstr>'Test 3 2024-09-03'!NameAndRevisionOfModule</vt:lpstr>
      <vt:lpstr>'Test 4 2024-09-20'!NameAndRevisionOfModule</vt:lpstr>
      <vt:lpstr>'Test 5 2024-09-29 (2)'!NameAndRevisionOfModule</vt:lpstr>
      <vt:lpstr>'Test 6 2025-11-10'!NameAndRevisionOfModule</vt:lpstr>
      <vt:lpstr>'Test Report template (example)'!NameAndRevisionOfModule</vt:lpstr>
      <vt:lpstr>__test_template__!NameAndRevisionofSWSystem</vt:lpstr>
      <vt:lpstr>'__test_template__ (3)'!NameAndRevisionofSWSystem</vt:lpstr>
      <vt:lpstr>'Test 1 2024-05-17'!NameAndRevisionofSWSystem</vt:lpstr>
      <vt:lpstr>'Test 2 2024-08-06'!NameAndRevisionofSWSystem</vt:lpstr>
      <vt:lpstr>'Test 3 2024-09-03'!NameAndRevisionofSWSystem</vt:lpstr>
      <vt:lpstr>'Test 4 2024-09-20'!NameAndRevisionofSWSystem</vt:lpstr>
      <vt:lpstr>'Test 5 2024-09-29 (2)'!NameAndRevisionofSWSystem</vt:lpstr>
      <vt:lpstr>'Test 6 2025-11-10'!NameAndRevisionofSWSystem</vt:lpstr>
      <vt:lpstr>'Test Report template (example)'!NameAndRevisionofSWSystem</vt:lpstr>
      <vt:lpstr>__test_template__!NameAndRevisionOfTestFrames</vt:lpstr>
      <vt:lpstr>'__test_template__ (3)'!NameAndRevisionOfTestFrames</vt:lpstr>
      <vt:lpstr>'Test 1 2024-05-17'!NameAndRevisionOfTestFrames</vt:lpstr>
      <vt:lpstr>'Test 2 2024-08-06'!NameAndRevisionOfTestFrames</vt:lpstr>
      <vt:lpstr>'Test 3 2024-09-03'!NameAndRevisionOfTestFrames</vt:lpstr>
      <vt:lpstr>'Test 4 2024-09-20'!NameAndRevisionOfTestFrames</vt:lpstr>
      <vt:lpstr>'Test 5 2024-09-29 (2)'!NameAndRevisionOfTestFrames</vt:lpstr>
      <vt:lpstr>'Test 6 2025-11-10'!NameAndRevisionOfTestFrames</vt:lpstr>
      <vt:lpstr>'Test Report template (example)'!NameAndRevisionOfTestFrames</vt:lpstr>
      <vt:lpstr>passed</vt:lpstr>
      <vt:lpstr>result_list</vt:lpstr>
      <vt:lpstr>__test_template__!TestDate</vt:lpstr>
      <vt:lpstr>'__test_template__ (3)'!TestDate</vt:lpstr>
      <vt:lpstr>'Test 1 2024-05-17'!TestDate</vt:lpstr>
      <vt:lpstr>'Test 2 2024-08-06'!TestDate</vt:lpstr>
      <vt:lpstr>'Test 3 2024-09-03'!TestDate</vt:lpstr>
      <vt:lpstr>'Test 4 2024-09-20'!TestDate</vt:lpstr>
      <vt:lpstr>'Test 5 2024-09-29 (2)'!TestDate</vt:lpstr>
      <vt:lpstr>'Test 6 2025-11-10'!TestDate</vt:lpstr>
      <vt:lpstr>'Test Report template (example)'!TestDate</vt:lpstr>
      <vt:lpstr>__test_template__!Tester</vt:lpstr>
      <vt:lpstr>'__test_template__ (3)'!Tester</vt:lpstr>
      <vt:lpstr>'Test 1 2024-05-17'!Tester</vt:lpstr>
      <vt:lpstr>'Test 2 2024-08-06'!Tester</vt:lpstr>
      <vt:lpstr>'Test 3 2024-09-03'!Tester</vt:lpstr>
      <vt:lpstr>'Test 4 2024-09-20'!Tester</vt:lpstr>
      <vt:lpstr>'Test 5 2024-09-29 (2)'!Tester</vt:lpstr>
      <vt:lpstr>'Test 6 2025-11-10'!Tester</vt:lpstr>
      <vt:lpstr>'Test Report template (example)'!Tester</vt:lpstr>
      <vt:lpstr>__test_template__!TestResult</vt:lpstr>
      <vt:lpstr>'__test_template__ (3)'!TestResult</vt:lpstr>
      <vt:lpstr>'Test 1 2024-05-17'!TestResult</vt:lpstr>
      <vt:lpstr>'Test 2 2024-08-06'!TestResult</vt:lpstr>
      <vt:lpstr>'Test 3 2024-09-03'!TestResult</vt:lpstr>
      <vt:lpstr>'Test 4 2024-09-20'!TestResult</vt:lpstr>
      <vt:lpstr>'Test 5 2024-09-29 (2)'!TestResult</vt:lpstr>
      <vt:lpstr>'Test 6 2025-11-10'!TestResult</vt:lpstr>
      <vt:lpstr>'Test Report template (example)'!TestResult</vt:lpstr>
      <vt:lpstr>testresultlist</vt:lpstr>
      <vt:lpstr>TestTypeTSO</vt:lpstr>
      <vt:lpstr>TypeOfTest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Steinbrenner, Eugen</dc:creator>
  <cp:lastModifiedBy>H, Adwiti</cp:lastModifiedBy>
  <cp:lastPrinted>2008-11-04T13:41:36Z</cp:lastPrinted>
  <dcterms:created xsi:type="dcterms:W3CDTF">2001-07-13T09:23:54Z</dcterms:created>
  <dcterms:modified xsi:type="dcterms:W3CDTF">2025-11-10T09:23:29Z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1235640799</vt:i4>
  </property>
  <property fmtid="{D5CDD505-2E9C-101B-9397-08002B2CF9AE}" pid="3" name="_EmailSubject">
    <vt:lpwstr>TestStatusOverview_Monitor_Platform.xls</vt:lpwstr>
  </property>
  <property fmtid="{D5CDD505-2E9C-101B-9397-08002B2CF9AE}" pid="4" name="_AuthorEmail">
    <vt:lpwstr>babette.baer@siemens.com</vt:lpwstr>
  </property>
  <property fmtid="{D5CDD505-2E9C-101B-9397-08002B2CF9AE}" pid="5" name="_AuthorEmailDisplayName">
    <vt:lpwstr>Baer Babette</vt:lpwstr>
  </property>
  <property fmtid="{D5CDD505-2E9C-101B-9397-08002B2CF9AE}" pid="6" name="_ReviewingToolsShownOnce">
    <vt:lpwstr/>
  </property>
</Properties>
</file>